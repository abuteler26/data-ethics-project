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uchicagoedu-my.sharepoint.com/personal/rampoldim_uchicago_edu/Documents/"/>
    </mc:Choice>
  </mc:AlternateContent>
  <xr:revisionPtr revIDLastSave="0" documentId="8_{17FFCF25-2CEA-4D6E-BF2C-2BB0D045E041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Dashboard" sheetId="2" r:id="rId1"/>
    <sheet name="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 a="1"/>
  <c r="O2" i="2" s="1"/>
  <c r="A5" i="2" a="1"/>
  <c r="A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<sst xmlns="http://schemas.openxmlformats.org/spreadsheetml/2006/main" count="606" uniqueCount="56">
  <si>
    <t>Select Ticker Here</t>
  </si>
  <si>
    <t>AMZN</t>
  </si>
  <si>
    <t>Ticker</t>
  </si>
  <si>
    <t>Year</t>
  </si>
  <si>
    <t>Quarter</t>
  </si>
  <si>
    <t>Value of Holdings</t>
  </si>
  <si>
    <t>QoQ Change in Holdings Value</t>
  </si>
  <si>
    <t>QoQ % Change in Holdings</t>
  </si>
  <si>
    <t>Normalized Value  Holdings</t>
  </si>
  <si>
    <t>Total Robinhood Users Holding</t>
  </si>
  <si>
    <t>QoQ Change in Users</t>
  </si>
  <si>
    <t>QoQ % Change in Users</t>
  </si>
  <si>
    <t>Normalized Value of Users</t>
  </si>
  <si>
    <t>Period</t>
  </si>
  <si>
    <t>Difference in the Normalized Values</t>
  </si>
  <si>
    <t>Note: a positive difference indicates that scale of the 13F holdings was greater than that of the Robinhood holdings</t>
  </si>
  <si>
    <t>Calculation of difference = Normalized 13F Value - Normalized Robinhood Users for each stock</t>
  </si>
  <si>
    <t>ticker</t>
  </si>
  <si>
    <t>year</t>
  </si>
  <si>
    <t>quarter</t>
  </si>
  <si>
    <t>value</t>
  </si>
  <si>
    <t>Normalized Value of % Change in Holdings</t>
  </si>
  <si>
    <t>Normalized Value of % Change in Users</t>
  </si>
  <si>
    <t>quarter_order</t>
  </si>
  <si>
    <t>AAPL</t>
  </si>
  <si>
    <t>Q1</t>
  </si>
  <si>
    <t>2018Q1</t>
  </si>
  <si>
    <t>Q2</t>
  </si>
  <si>
    <t>2018Q2</t>
  </si>
  <si>
    <t>Q3</t>
  </si>
  <si>
    <t>2018Q3</t>
  </si>
  <si>
    <t>Q4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</si>
  <si>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</si>
  <si>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</si>
  <si>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</si>
  <si>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</si>
  <si>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</si>
  <si>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</si>
  <si>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</si>
  <si>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</si>
  <si>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</si>
  <si>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AMCX</t>
  </si>
  <si>
    <t>BA</t>
  </si>
  <si>
    <t>BRK.A</t>
  </si>
  <si>
    <t>BRK.B</t>
  </si>
  <si>
    <t>F</t>
  </si>
  <si>
    <t>GOOGL</t>
  </si>
  <si>
    <t>JNJ</t>
  </si>
  <si>
    <t>JPM</t>
  </si>
  <si>
    <t>MRNA</t>
  </si>
  <si>
    <t>MSFT</t>
  </si>
  <si>
    <t>NVDA</t>
  </si>
  <si>
    <t>PG</t>
  </si>
  <si>
    <t>PLUG</t>
  </si>
  <si>
    <t>TSLA</t>
  </si>
  <si>
    <t>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</si>
</sst>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9" fontId="1" fillId="0" borderId="1" xfId="1" applyFont="1" applyBorder="1" applyAlignment="1">
      <alignment horizontal="center" vertical="top"/>
    </xf>
    <xf numFmtId="0" fontId="3" fillId="0" borderId="0" xfId="0" applyFont="1"/>
    <xf numFmtId="10" fontId="0" fillId="0" borderId="0" xfId="1" applyNumberFormat="1" applyFont="1"/>
    <xf numFmtId="0" fontId="5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Dashboard!$M$4</c:f>
              <c:strCache>
                <c:ptCount val="1"/>
                <c:pt idx="0">
                  <c:v>Difference in the Normalized Values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Dashboard!$L$4:$L$16</c:f>
              <c:strCache>
                <c:ptCount val="13"/>
                <c:pt idx="0">
                  <c:v>Period</c:v>
                </c:pt>
                <c:pt idx="1">
                  <c:v>2018Q1</c:v>
                </c:pt>
                <c:pt idx="2">
                  <c:v>2018Q2</c:v>
                </c:pt>
                <c:pt idx="3">
                  <c:v>2018Q3</c:v>
                </c:pt>
                <c:pt idx="4">
                  <c:v>2018Q4</c:v>
                </c:pt>
                <c:pt idx="5">
                  <c:v>2019Q1</c:v>
                </c:pt>
                <c:pt idx="6">
                  <c:v>2019Q2</c:v>
                </c:pt>
                <c:pt idx="7">
                  <c:v>2019Q3</c:v>
                </c:pt>
                <c:pt idx="8">
                  <c:v>2019Q4</c:v>
                </c:pt>
                <c:pt idx="9">
                  <c:v>2020Q1</c:v>
                </c:pt>
                <c:pt idx="10">
                  <c:v>2020Q2</c:v>
                </c:pt>
                <c:pt idx="11">
                  <c:v>2020Q3</c:v>
                </c:pt>
                <c:pt idx="12">
                  <c:v>2020Q4</c:v>
                </c:pt>
              </c:strCache>
            </c:strRef>
          </c:cat>
          <c:val>
            <c:numRef>
              <c:f>Dashboard!$M$5:$M$16</c:f>
              <c:numCache>
                <c:formatCode>General</c:formatCode>
                <c:ptCount val="12"/>
                <c:pt idx="0">
                  <c:v>0</c:v>
                </c:pt>
                <c:pt idx="1">
                  <c:v>0.14419545810869519</c:v>
                </c:pt>
                <c:pt idx="2">
                  <c:v>0.20719399764397589</c:v>
                </c:pt>
                <c:pt idx="3">
                  <c:v>0.29708115006364572</c:v>
                </c:pt>
                <c:pt idx="4">
                  <c:v>1.7833674872885261E-2</c:v>
                </c:pt>
                <c:pt idx="5">
                  <c:v>0.23084621404471159</c:v>
                </c:pt>
                <c:pt idx="6">
                  <c:v>0.16514329995774879</c:v>
                </c:pt>
                <c:pt idx="7">
                  <c:v>0.14175615456767729</c:v>
                </c:pt>
                <c:pt idx="8">
                  <c:v>0.24445229104195579</c:v>
                </c:pt>
                <c:pt idx="9">
                  <c:v>-0.16941070124431651</c:v>
                </c:pt>
                <c:pt idx="10">
                  <c:v>-0.22379967338428949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B7-A047-8068-6AACCB235D4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11261200"/>
        <c:axId val="1511464560"/>
      </c:lineChart>
      <c:catAx>
        <c:axId val="1511261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464560"/>
        <c:crosses val="autoZero"/>
        <c:auto val="1"/>
        <c:lblAlgn val="ctr"/>
        <c:lblOffset val="500"/>
        <c:noMultiLvlLbl val="0"/>
      </c:catAx>
      <c:valAx>
        <c:axId val="151146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26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500"/>
              <a:t>Normalized Value of 13F</a:t>
            </a:r>
            <a:r>
              <a:rPr lang="en-US" sz="1500" baseline="0"/>
              <a:t> Holdings (blue) and Normalized Robinhood Users (red)</a:t>
            </a:r>
            <a:endParaRPr 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Dashboard!$G$4</c:f>
              <c:strCache>
                <c:ptCount val="1"/>
                <c:pt idx="0">
                  <c:v>Normalized Value  Holdings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Dashboard!$L$5:$L$16</c:f>
              <c:strCache>
                <c:ptCount val="12"/>
                <c:pt idx="0">
                  <c:v>2018Q1</c:v>
                </c:pt>
                <c:pt idx="1">
                  <c:v>2018Q2</c:v>
                </c:pt>
                <c:pt idx="2">
                  <c:v>2018Q3</c:v>
                </c:pt>
                <c:pt idx="3">
                  <c:v>2018Q4</c:v>
                </c:pt>
                <c:pt idx="4">
                  <c:v>2019Q1</c:v>
                </c:pt>
                <c:pt idx="5">
                  <c:v>2019Q2</c:v>
                </c:pt>
                <c:pt idx="6">
                  <c:v>2019Q3</c:v>
                </c:pt>
                <c:pt idx="7">
                  <c:v>2019Q4</c:v>
                </c:pt>
                <c:pt idx="8">
                  <c:v>2020Q1</c:v>
                </c:pt>
                <c:pt idx="9">
                  <c:v>2020Q2</c:v>
                </c:pt>
                <c:pt idx="10">
                  <c:v>2020Q3</c:v>
                </c:pt>
                <c:pt idx="11">
                  <c:v>2020Q4</c:v>
                </c:pt>
              </c:strCache>
            </c:strRef>
          </c:cat>
          <c:val>
            <c:numRef>
              <c:f>Dashboard!$G$5:$G$16</c:f>
              <c:numCache>
                <c:formatCode>General</c:formatCode>
                <c:ptCount val="12"/>
                <c:pt idx="0">
                  <c:v>0</c:v>
                </c:pt>
                <c:pt idx="1">
                  <c:v>0.14419545810869519</c:v>
                </c:pt>
                <c:pt idx="2">
                  <c:v>0.26176747317600352</c:v>
                </c:pt>
                <c:pt idx="3">
                  <c:v>0.42269668077357919</c:v>
                </c:pt>
                <c:pt idx="4">
                  <c:v>0.1219819006834952</c:v>
                </c:pt>
                <c:pt idx="5">
                  <c:v>0.32790455733252649</c:v>
                </c:pt>
                <c:pt idx="6">
                  <c:v>0.27677385835403168</c:v>
                </c:pt>
                <c:pt idx="7">
                  <c:v>0.24491036452559639</c:v>
                </c:pt>
                <c:pt idx="8">
                  <c:v>0.3350194529977894</c:v>
                </c:pt>
                <c:pt idx="9">
                  <c:v>0.4407345625709283</c:v>
                </c:pt>
                <c:pt idx="10">
                  <c:v>0.77620032661571048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60-0B4E-86E8-0256534AEB0F}"/>
            </c:ext>
          </c:extLst>
        </c:ser>
        <c:ser>
          <c:idx val="1"/>
          <c:order val="1"/>
          <c:tx>
            <c:strRef>
              <c:f>Dashboard!$K$4</c:f>
              <c:strCache>
                <c:ptCount val="1"/>
                <c:pt idx="0">
                  <c:v>Normalized Value of Users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Dashboard!$L$5:$L$16</c:f>
              <c:strCache>
                <c:ptCount val="12"/>
                <c:pt idx="0">
                  <c:v>2018Q1</c:v>
                </c:pt>
                <c:pt idx="1">
                  <c:v>2018Q2</c:v>
                </c:pt>
                <c:pt idx="2">
                  <c:v>2018Q3</c:v>
                </c:pt>
                <c:pt idx="3">
                  <c:v>2018Q4</c:v>
                </c:pt>
                <c:pt idx="4">
                  <c:v>2019Q1</c:v>
                </c:pt>
                <c:pt idx="5">
                  <c:v>2019Q2</c:v>
                </c:pt>
                <c:pt idx="6">
                  <c:v>2019Q3</c:v>
                </c:pt>
                <c:pt idx="7">
                  <c:v>2019Q4</c:v>
                </c:pt>
                <c:pt idx="8">
                  <c:v>2020Q1</c:v>
                </c:pt>
                <c:pt idx="9">
                  <c:v>2020Q2</c:v>
                </c:pt>
                <c:pt idx="10">
                  <c:v>2020Q3</c:v>
                </c:pt>
                <c:pt idx="11">
                  <c:v>2020Q4</c:v>
                </c:pt>
              </c:strCache>
            </c:strRef>
          </c:cat>
          <c:val>
            <c:numRef>
              <c:f>Dashboard!$K$5:$K$16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5.4573475532027647E-2</c:v>
                </c:pt>
                <c:pt idx="3">
                  <c:v>0.12561553070993359</c:v>
                </c:pt>
                <c:pt idx="4">
                  <c:v>0.1041482258106099</c:v>
                </c:pt>
                <c:pt idx="5">
                  <c:v>9.7058343287814861E-2</c:v>
                </c:pt>
                <c:pt idx="6">
                  <c:v>0.1116305583962829</c:v>
                </c:pt>
                <c:pt idx="7">
                  <c:v>0.103154209957919</c:v>
                </c:pt>
                <c:pt idx="8">
                  <c:v>9.0567161955833614E-2</c:v>
                </c:pt>
                <c:pt idx="9">
                  <c:v>0.61014526381524481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60-0B4E-86E8-0256534AE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2993920"/>
        <c:axId val="1763235472"/>
      </c:lineChart>
      <c:catAx>
        <c:axId val="176299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235472"/>
        <c:crosses val="autoZero"/>
        <c:auto val="1"/>
        <c:lblAlgn val="ctr"/>
        <c:lblOffset val="100"/>
        <c:noMultiLvlLbl val="0"/>
      </c:catAx>
      <c:valAx>
        <c:axId val="176323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99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14544</xdr:colOff>
      <xdr:row>17</xdr:row>
      <xdr:rowOff>978</xdr:rowOff>
    </xdr:from>
    <xdr:to>
      <xdr:col>12</xdr:col>
      <xdr:colOff>2076967</xdr:colOff>
      <xdr:row>35</xdr:row>
      <xdr:rowOff>14768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37E822-8837-5F10-6D51-E6551D6C7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73838</xdr:colOff>
      <xdr:row>17</xdr:row>
      <xdr:rowOff>9157</xdr:rowOff>
    </xdr:from>
    <xdr:to>
      <xdr:col>7</xdr:col>
      <xdr:colOff>11817</xdr:colOff>
      <xdr:row>35</xdr:row>
      <xdr:rowOff>29535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CF3018-3B85-00D1-137E-243F56158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1299-6C7E-1148-92E6-58B7B7B4541C}">
  <dimension ref="A1:O37"/>
  <sheetViews>
    <sheetView tabSelected="1" zoomScale="86" zoomScaleNormal="64" workbookViewId="0">
      <selection activeCell="O6" sqref="O6"/>
    </sheetView>
  </sheetViews>
  <sheetFormatPr defaultColWidth="11.42578125" defaultRowHeight="15"/>
  <cols>
    <col min="1" max="1" width="19" bestFit="1" customWidth="1"/>
    <col min="2" max="2" width="5.140625" bestFit="1" customWidth="1"/>
    <col min="3" max="3" width="7.28515625" bestFit="1" customWidth="1"/>
    <col min="4" max="4" width="14.42578125" bestFit="1" customWidth="1"/>
    <col min="5" max="5" width="24.85546875" bestFit="1" customWidth="1"/>
    <col min="6" max="6" width="21.7109375" bestFit="1" customWidth="1"/>
    <col min="7" max="7" width="22.42578125" bestFit="1" customWidth="1"/>
    <col min="8" max="8" width="25" bestFit="1" customWidth="1"/>
    <col min="9" max="9" width="17.28515625" bestFit="1" customWidth="1"/>
    <col min="10" max="10" width="19" bestFit="1" customWidth="1"/>
    <col min="11" max="11" width="21.42578125" bestFit="1" customWidth="1"/>
    <col min="12" max="12" width="7.28515625" bestFit="1" customWidth="1"/>
    <col min="13" max="13" width="29.28515625" bestFit="1" customWidth="1"/>
    <col min="14" max="14" width="12.140625" bestFit="1" customWidth="1"/>
    <col min="15" max="15" width="29.28515625" bestFit="1" customWidth="1"/>
    <col min="16" max="16" width="10" bestFit="1" customWidth="1"/>
    <col min="17" max="17" width="15" bestFit="1" customWidth="1"/>
  </cols>
  <sheetData>
    <row r="1" spans="1:15" ht="18.95">
      <c r="A1" s="9" t="s">
        <v>0</v>
      </c>
      <c r="B1" s="7"/>
      <c r="C1" s="6"/>
      <c r="D1" s="6"/>
    </row>
    <row r="2" spans="1:15" ht="18.95">
      <c r="A2" s="8" t="s">
        <v>1</v>
      </c>
      <c r="B2" s="6"/>
      <c r="C2" s="6"/>
      <c r="D2" s="6"/>
      <c r="O2" s="4" t="str" cm="1">
        <f t="array" ref="O2:O18">_xlfn.UNIQUE(Data!$A$2:$A$193)</f>
        <v>AAPL</v>
      </c>
    </row>
    <row r="3" spans="1:15">
      <c r="O3" s="4" t="str">
        <v>AMCX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3" t="s">
        <v>11</v>
      </c>
      <c r="K4" s="1" t="s">
        <v>12</v>
      </c>
      <c r="L4" s="1" t="s">
        <v>13</v>
      </c>
      <c r="M4" s="1" t="s">
        <v>14</v>
      </c>
      <c r="O4" s="4" t="str">
        <v>AMZN</v>
      </c>
    </row>
    <row r="5" spans="1:15">
      <c r="A5" t="str" cm="1">
        <f t="array" ref="A5:M16">_xlfn._xlws.FILTER(Data!A:M, Data!A:A = $A$2)</f>
        <v>AMZN</v>
      </c>
      <c r="B5">
        <v>2018</v>
      </c>
      <c r="C5" t="str">
        <v>Q1</v>
      </c>
      <c r="D5">
        <v>2569051728</v>
      </c>
      <c r="E5">
        <v>0</v>
      </c>
      <c r="F5" s="5">
        <v>0</v>
      </c>
      <c r="G5">
        <v>0</v>
      </c>
      <c r="H5">
        <v>0</v>
      </c>
      <c r="I5">
        <v>0</v>
      </c>
      <c r="J5" s="5">
        <v>0</v>
      </c>
      <c r="K5">
        <v>0</v>
      </c>
      <c r="L5" t="str">
        <v>2018Q1</v>
      </c>
      <c r="M5">
        <v>0</v>
      </c>
      <c r="O5" s="4" t="str">
        <v>BA</v>
      </c>
    </row>
    <row r="6" spans="1:15">
      <c r="A6" t="str">
        <v>AMZN</v>
      </c>
      <c r="B6">
        <v>2018</v>
      </c>
      <c r="C6" t="str">
        <v>Q2</v>
      </c>
      <c r="D6">
        <v>3399340804</v>
      </c>
      <c r="E6">
        <v>830289076</v>
      </c>
      <c r="F6" s="5">
        <v>0.32318892879840072</v>
      </c>
      <c r="G6">
        <v>0.14419545810869519</v>
      </c>
      <c r="H6">
        <v>78884</v>
      </c>
      <c r="I6">
        <v>0</v>
      </c>
      <c r="J6" s="5">
        <v>0</v>
      </c>
      <c r="K6">
        <v>0</v>
      </c>
      <c r="L6" t="str">
        <v>2018Q2</v>
      </c>
      <c r="M6">
        <v>0.14419545810869519</v>
      </c>
      <c r="O6" s="4" t="str">
        <v>BRK.A</v>
      </c>
    </row>
    <row r="7" spans="1:15">
      <c r="A7" t="str">
        <v>AMZN</v>
      </c>
      <c r="B7">
        <v>2018</v>
      </c>
      <c r="C7" t="str">
        <v>Q3</v>
      </c>
      <c r="D7">
        <v>4076329948</v>
      </c>
      <c r="E7">
        <v>676989144</v>
      </c>
      <c r="F7" s="5">
        <v>0.19915306614840961</v>
      </c>
      <c r="G7">
        <v>0.26176747317600352</v>
      </c>
      <c r="H7">
        <v>97935</v>
      </c>
      <c r="I7">
        <v>19051</v>
      </c>
      <c r="J7" s="5">
        <v>0.24150651589675981</v>
      </c>
      <c r="K7">
        <v>5.4573475532027647E-2</v>
      </c>
      <c r="L7" t="str">
        <v>2018Q3</v>
      </c>
      <c r="M7">
        <v>0.20719399764397589</v>
      </c>
      <c r="O7" s="4" t="str">
        <v>BRK.B</v>
      </c>
    </row>
    <row r="8" spans="1:15">
      <c r="A8" t="str">
        <v>AMZN</v>
      </c>
      <c r="B8">
        <v>2018</v>
      </c>
      <c r="C8" t="str">
        <v>Q4</v>
      </c>
      <c r="D8">
        <v>5002973303</v>
      </c>
      <c r="E8">
        <v>926643355</v>
      </c>
      <c r="F8" s="5">
        <v>0.2273229514835142</v>
      </c>
      <c r="G8">
        <v>0.42269668077357919</v>
      </c>
      <c r="H8">
        <v>122735</v>
      </c>
      <c r="I8">
        <v>24800</v>
      </c>
      <c r="J8" s="5">
        <v>0.25322918262112609</v>
      </c>
      <c r="K8">
        <v>0.12561553070993359</v>
      </c>
      <c r="L8" t="str">
        <v>2018Q4</v>
      </c>
      <c r="M8">
        <v>0.29708115006364572</v>
      </c>
      <c r="O8" s="4" t="str">
        <v>F</v>
      </c>
    </row>
    <row r="9" spans="1:15">
      <c r="A9" t="str">
        <v>AMZN</v>
      </c>
      <c r="B9">
        <v>2019</v>
      </c>
      <c r="C9" t="str">
        <v>Q1</v>
      </c>
      <c r="D9">
        <v>3271433349</v>
      </c>
      <c r="E9">
        <v>-1731539954</v>
      </c>
      <c r="F9" s="5">
        <v>-0.34610217747148347</v>
      </c>
      <c r="G9">
        <v>0.1219819006834952</v>
      </c>
      <c r="H9">
        <v>115241</v>
      </c>
      <c r="I9">
        <v>-7494</v>
      </c>
      <c r="J9" s="5">
        <v>-6.105837780584189E-2</v>
      </c>
      <c r="K9">
        <v>0.1041482258106099</v>
      </c>
      <c r="L9" t="str">
        <v>2019Q1</v>
      </c>
      <c r="M9">
        <v>1.7833674872885261E-2</v>
      </c>
      <c r="O9" s="4" t="str">
        <v>GOOGL</v>
      </c>
    </row>
    <row r="10" spans="1:15">
      <c r="A10" t="str">
        <v>AMZN</v>
      </c>
      <c r="B10">
        <v>2019</v>
      </c>
      <c r="C10" t="str">
        <v>Q2</v>
      </c>
      <c r="D10">
        <v>4457152612</v>
      </c>
      <c r="E10">
        <v>1185719263</v>
      </c>
      <c r="F10" s="5">
        <v>0.36244640697400921</v>
      </c>
      <c r="G10">
        <v>0.32790455733252649</v>
      </c>
      <c r="H10">
        <v>112766</v>
      </c>
      <c r="I10">
        <v>-2475</v>
      </c>
      <c r="J10" s="5">
        <v>-2.1476731371647299E-2</v>
      </c>
      <c r="K10">
        <v>9.7058343287814861E-2</v>
      </c>
      <c r="L10" t="str">
        <v>2019Q2</v>
      </c>
      <c r="M10">
        <v>0.23084621404471159</v>
      </c>
      <c r="O10" s="4" t="str">
        <v>JNJ</v>
      </c>
    </row>
    <row r="11" spans="1:15">
      <c r="A11" t="str">
        <v>AMZN</v>
      </c>
      <c r="B11">
        <v>2019</v>
      </c>
      <c r="C11" t="str">
        <v>Q3</v>
      </c>
      <c r="D11">
        <v>4162737924</v>
      </c>
      <c r="E11">
        <v>-294414688</v>
      </c>
      <c r="F11" s="5">
        <v>-6.6054432869843138E-2</v>
      </c>
      <c r="G11">
        <v>0.27677385835403168</v>
      </c>
      <c r="H11">
        <v>117853</v>
      </c>
      <c r="I11">
        <v>5087</v>
      </c>
      <c r="J11" s="5">
        <v>4.5111115052409501E-2</v>
      </c>
      <c r="K11">
        <v>0.1116305583962829</v>
      </c>
      <c r="L11" t="str">
        <v>2019Q3</v>
      </c>
      <c r="M11">
        <v>0.16514329995774879</v>
      </c>
      <c r="O11" s="4" t="str">
        <v>JPM</v>
      </c>
    </row>
    <row r="12" spans="1:15">
      <c r="A12" t="str">
        <v>AMZN</v>
      </c>
      <c r="B12">
        <v>2019</v>
      </c>
      <c r="C12" t="str">
        <v>Q4</v>
      </c>
      <c r="D12">
        <v>3979265357</v>
      </c>
      <c r="E12">
        <v>-183472567</v>
      </c>
      <c r="F12" s="5">
        <v>-4.4074974295691398E-2</v>
      </c>
      <c r="G12">
        <v>0.24491036452559639</v>
      </c>
      <c r="H12">
        <v>114894</v>
      </c>
      <c r="I12">
        <v>-2959</v>
      </c>
      <c r="J12" s="5">
        <v>-2.5107549235063979E-2</v>
      </c>
      <c r="K12">
        <v>0.103154209957919</v>
      </c>
      <c r="L12" t="str">
        <v>2019Q4</v>
      </c>
      <c r="M12">
        <v>0.14175615456767729</v>
      </c>
      <c r="O12" s="4" t="str">
        <v>MRNA</v>
      </c>
    </row>
    <row r="13" spans="1:15">
      <c r="A13" t="str">
        <v>AMZN</v>
      </c>
      <c r="B13">
        <v>2020</v>
      </c>
      <c r="C13" t="str">
        <v>Q1</v>
      </c>
      <c r="D13">
        <v>4498120755</v>
      </c>
      <c r="E13">
        <v>518855398</v>
      </c>
      <c r="F13" s="5">
        <v>0.130389745707024</v>
      </c>
      <c r="G13">
        <v>0.3350194529977894</v>
      </c>
      <c r="H13">
        <v>110500</v>
      </c>
      <c r="I13">
        <v>-4394</v>
      </c>
      <c r="J13" s="5">
        <v>-3.8243946594252121E-2</v>
      </c>
      <c r="K13">
        <v>9.0567161955833614E-2</v>
      </c>
      <c r="L13" t="str">
        <v>2020Q1</v>
      </c>
      <c r="M13">
        <v>0.24445229104195579</v>
      </c>
      <c r="O13" s="4" t="str">
        <v>MSFT</v>
      </c>
    </row>
    <row r="14" spans="1:15">
      <c r="A14" t="str">
        <v>AMZN</v>
      </c>
      <c r="B14">
        <v>2020</v>
      </c>
      <c r="C14" t="str">
        <v>Q2</v>
      </c>
      <c r="D14">
        <v>5106836881</v>
      </c>
      <c r="E14">
        <v>608716126</v>
      </c>
      <c r="F14" s="5">
        <v>0.1353267640321496</v>
      </c>
      <c r="G14">
        <v>0.4407345625709283</v>
      </c>
      <c r="H14">
        <v>291879</v>
      </c>
      <c r="I14">
        <v>181379</v>
      </c>
      <c r="J14" s="5">
        <v>1.641438914027149</v>
      </c>
      <c r="K14">
        <v>0.61014526381524481</v>
      </c>
      <c r="L14" t="str">
        <v>2020Q2</v>
      </c>
      <c r="M14">
        <v>-0.16941070124431651</v>
      </c>
      <c r="O14" s="4" t="str">
        <v>NVDA</v>
      </c>
    </row>
    <row r="15" spans="1:15">
      <c r="A15" t="str">
        <v>AMZN</v>
      </c>
      <c r="B15">
        <v>2020</v>
      </c>
      <c r="C15" t="str">
        <v>Q3</v>
      </c>
      <c r="D15">
        <v>7038475803</v>
      </c>
      <c r="E15">
        <v>1931638922</v>
      </c>
      <c r="F15" s="5">
        <v>0.37824566693850498</v>
      </c>
      <c r="G15">
        <v>0.77620032661571048</v>
      </c>
      <c r="H15">
        <v>427973</v>
      </c>
      <c r="I15">
        <v>136094</v>
      </c>
      <c r="J15" s="5">
        <v>0.46626855649087462</v>
      </c>
      <c r="K15">
        <v>1</v>
      </c>
      <c r="L15" t="str">
        <v>2020Q3</v>
      </c>
      <c r="M15">
        <v>-0.22379967338428949</v>
      </c>
      <c r="O15" s="4" t="str">
        <v>PG</v>
      </c>
    </row>
    <row r="16" spans="1:15">
      <c r="A16" t="str">
        <v>AMZN</v>
      </c>
      <c r="B16">
        <v>2020</v>
      </c>
      <c r="C16" t="str">
        <v>Q4</v>
      </c>
      <c r="D16">
        <v>8327132370</v>
      </c>
      <c r="E16">
        <v>1288656567</v>
      </c>
      <c r="F16" s="5">
        <v>0.1830874472070696</v>
      </c>
      <c r="G16">
        <v>1</v>
      </c>
      <c r="H16">
        <v>0</v>
      </c>
      <c r="I16">
        <v>0</v>
      </c>
      <c r="J16" s="5">
        <v>0</v>
      </c>
      <c r="K16">
        <v>0</v>
      </c>
      <c r="L16" t="str">
        <v>2020Q4</v>
      </c>
      <c r="M16">
        <v>0</v>
      </c>
      <c r="O16" s="4" t="str">
        <v>PLUG</v>
      </c>
    </row>
    <row r="17" spans="15:15">
      <c r="O17" s="4" t="str">
        <v>TSLA</v>
      </c>
    </row>
    <row r="18" spans="15:15">
      <c r="O18" s="4" t="str">
        <v>XOM</v>
      </c>
    </row>
    <row r="36" spans="9:9">
      <c r="I36" t="s">
        <v>15</v>
      </c>
    </row>
    <row r="37" spans="9:9">
      <c r="I37" t="s">
        <v>16</v>
      </c>
    </row>
  </sheetData>
  <dataValidations count="1">
    <dataValidation type="list" allowBlank="1" showInputMessage="1" showErrorMessage="1" sqref="A2" xr:uid="{78731A7E-ADB3-964D-A5E1-2A5903895BBC}">
      <formula1>$O$2:$O$18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3"/>
  <sheetViews>
    <sheetView zoomScale="93" workbookViewId="0">
      <selection activeCell="D101" sqref="D101"/>
    </sheetView>
  </sheetViews>
  <sheetFormatPr defaultColWidth="8.85546875" defaultRowHeight="15"/>
  <cols>
    <col min="2" max="2" width="9" bestFit="1" customWidth="1"/>
    <col min="4" max="4" width="12.140625" bestFit="1" customWidth="1"/>
    <col min="5" max="5" width="24.85546875" bestFit="1" customWidth="1"/>
    <col min="6" max="6" width="22.140625" bestFit="1" customWidth="1"/>
    <col min="7" max="7" width="33.85546875" bestFit="1" customWidth="1"/>
    <col min="8" max="8" width="25" bestFit="1" customWidth="1"/>
    <col min="9" max="9" width="18" bestFit="1" customWidth="1"/>
    <col min="10" max="10" width="21.28515625" style="2" bestFit="1" customWidth="1"/>
    <col min="11" max="11" width="31.140625" bestFit="1" customWidth="1"/>
    <col min="12" max="12" width="12.140625" bestFit="1" customWidth="1"/>
    <col min="13" max="13" width="29.28515625" bestFit="1" customWidth="1"/>
  </cols>
  <sheetData>
    <row r="1" spans="1:13">
      <c r="A1" s="1" t="s">
        <v>17</v>
      </c>
      <c r="B1" s="1" t="s">
        <v>18</v>
      </c>
      <c r="C1" s="1" t="s">
        <v>19</v>
      </c>
      <c r="D1" s="1" t="s">
        <v>20</v>
      </c>
      <c r="E1" s="1" t="s">
        <v>6</v>
      </c>
      <c r="F1" s="1" t="s">
        <v>7</v>
      </c>
      <c r="G1" s="1" t="s">
        <v>21</v>
      </c>
      <c r="H1" s="1" t="s">
        <v>9</v>
      </c>
      <c r="I1" s="1" t="s">
        <v>10</v>
      </c>
      <c r="J1" s="3" t="s">
        <v>11</v>
      </c>
      <c r="K1" s="1" t="s">
        <v>22</v>
      </c>
      <c r="L1" s="1" t="s">
        <v>23</v>
      </c>
      <c r="M1" s="1" t="s">
        <v>14</v>
      </c>
    </row>
    <row r="2" spans="1:13">
      <c r="A2" t="s">
        <v>24</v>
      </c>
      <c r="B2">
        <v>2018</v>
      </c>
      <c r="C2" t="s">
        <v>25</v>
      </c>
      <c r="D2">
        <v>9610790436</v>
      </c>
      <c r="E2">
        <v>0</v>
      </c>
      <c r="F2" s="2">
        <v>0</v>
      </c>
      <c r="G2">
        <v>0.50956929540927054</v>
      </c>
      <c r="L2" t="s">
        <v>26</v>
      </c>
    </row>
    <row r="3" spans="1:13">
      <c r="A3" t="s">
        <v>24</v>
      </c>
      <c r="B3">
        <v>2018</v>
      </c>
      <c r="C3" t="s">
        <v>27</v>
      </c>
      <c r="D3">
        <v>5851053820</v>
      </c>
      <c r="E3">
        <v>-3759736616</v>
      </c>
      <c r="F3" s="2">
        <v>-0.39119952110461348</v>
      </c>
      <c r="G3">
        <v>9.3553133723966592E-2</v>
      </c>
      <c r="H3">
        <v>150718</v>
      </c>
      <c r="K3">
        <v>0</v>
      </c>
      <c r="L3" t="s">
        <v>28</v>
      </c>
      <c r="M3">
        <v>9.3553133723966592E-2</v>
      </c>
    </row>
    <row r="4" spans="1:13">
      <c r="A4" t="s">
        <v>24</v>
      </c>
      <c r="B4">
        <v>2018</v>
      </c>
      <c r="C4" t="s">
        <v>29</v>
      </c>
      <c r="D4">
        <v>6468818800</v>
      </c>
      <c r="E4">
        <v>617764980</v>
      </c>
      <c r="F4" s="2">
        <v>0.1055818317528312</v>
      </c>
      <c r="G4">
        <v>0.16190904320696181</v>
      </c>
      <c r="H4">
        <v>180324</v>
      </c>
      <c r="I4">
        <v>29606</v>
      </c>
      <c r="J4" s="2">
        <v>0.19643307368728349</v>
      </c>
      <c r="K4">
        <v>5.1039899595901092E-2</v>
      </c>
      <c r="L4" t="s">
        <v>30</v>
      </c>
      <c r="M4">
        <v>0.11086914361106071</v>
      </c>
    </row>
    <row r="5" spans="1:13">
      <c r="A5" t="s">
        <v>24</v>
      </c>
      <c r="B5">
        <v>2018</v>
      </c>
      <c r="C5" t="s">
        <v>31</v>
      </c>
      <c r="D5">
        <v>8091517448</v>
      </c>
      <c r="E5">
        <v>1622698648</v>
      </c>
      <c r="F5" s="2">
        <v>0.25084929693810548</v>
      </c>
      <c r="G5">
        <v>0.34146121189879453</v>
      </c>
      <c r="H5">
        <v>216843</v>
      </c>
      <c r="I5">
        <v>36519</v>
      </c>
      <c r="J5" s="2">
        <v>0.2025187994942437</v>
      </c>
      <c r="K5">
        <v>0.1139976140234736</v>
      </c>
      <c r="L5" t="s">
        <v>32</v>
      </c>
      <c r="M5">
        <v>0.22746359787532089</v>
      </c>
    </row>
    <row r="6" spans="1:13">
      <c r="A6" t="s">
        <v>24</v>
      </c>
      <c r="B6">
        <v>2019</v>
      </c>
      <c r="C6" t="s">
        <v>25</v>
      </c>
      <c r="D6">
        <v>5005569498</v>
      </c>
      <c r="E6">
        <v>-3085947950</v>
      </c>
      <c r="F6" s="2">
        <v>-0.38138062110497722</v>
      </c>
      <c r="G6">
        <v>0</v>
      </c>
      <c r="H6">
        <v>233997</v>
      </c>
      <c r="I6">
        <v>17154</v>
      </c>
      <c r="J6" s="2">
        <v>7.9107926010984819E-2</v>
      </c>
      <c r="K6">
        <v>0.14357062076765001</v>
      </c>
      <c r="L6" t="s">
        <v>33</v>
      </c>
      <c r="M6">
        <v>-0.14357062076765001</v>
      </c>
    </row>
    <row r="7" spans="1:13">
      <c r="A7" t="s">
        <v>24</v>
      </c>
      <c r="B7">
        <v>2019</v>
      </c>
      <c r="C7" t="s">
        <v>27</v>
      </c>
      <c r="D7">
        <v>6742822640</v>
      </c>
      <c r="E7">
        <v>1737253142</v>
      </c>
      <c r="F7" s="2">
        <v>0.34706403391145169</v>
      </c>
      <c r="G7">
        <v>0.19222766321846371</v>
      </c>
      <c r="H7">
        <v>224403</v>
      </c>
      <c r="I7">
        <v>-9594</v>
      </c>
      <c r="J7" s="2">
        <v>-4.1000525647764692E-2</v>
      </c>
      <c r="K7">
        <v>0.12703083840180951</v>
      </c>
      <c r="L7" t="s">
        <v>34</v>
      </c>
      <c r="M7">
        <v>6.5196824816654231E-2</v>
      </c>
    </row>
    <row r="8" spans="1:13">
      <c r="A8" t="s">
        <v>24</v>
      </c>
      <c r="B8">
        <v>2019</v>
      </c>
      <c r="C8" t="s">
        <v>29</v>
      </c>
      <c r="D8">
        <v>6692232105</v>
      </c>
      <c r="E8">
        <v>-50590535</v>
      </c>
      <c r="F8" s="2">
        <v>-7.5028719723227999E-3</v>
      </c>
      <c r="G8">
        <v>0.18662980295911991</v>
      </c>
      <c r="H8">
        <v>207066</v>
      </c>
      <c r="I8">
        <v>-17337</v>
      </c>
      <c r="J8" s="2">
        <v>-7.7258325423456897E-2</v>
      </c>
      <c r="K8">
        <v>9.7142344877046358E-2</v>
      </c>
      <c r="L8" t="s">
        <v>35</v>
      </c>
      <c r="M8">
        <v>8.9487458082073576E-2</v>
      </c>
    </row>
    <row r="9" spans="1:13">
      <c r="A9" t="s">
        <v>24</v>
      </c>
      <c r="B9">
        <v>2019</v>
      </c>
      <c r="C9" t="s">
        <v>31</v>
      </c>
      <c r="D9">
        <v>7122513379</v>
      </c>
      <c r="E9">
        <v>430281274</v>
      </c>
      <c r="F9" s="2">
        <v>6.4295629208455329E-2</v>
      </c>
      <c r="G9">
        <v>0.2342405752916206</v>
      </c>
      <c r="H9">
        <v>215640</v>
      </c>
      <c r="I9">
        <v>8574</v>
      </c>
      <c r="J9" s="2">
        <v>4.1407087595259462E-2</v>
      </c>
      <c r="K9">
        <v>0.1119236763346987</v>
      </c>
      <c r="L9" t="s">
        <v>36</v>
      </c>
      <c r="M9">
        <v>0.1223168989569219</v>
      </c>
    </row>
    <row r="10" spans="1:13">
      <c r="A10" t="s">
        <v>24</v>
      </c>
      <c r="B10">
        <v>2020</v>
      </c>
      <c r="C10" t="s">
        <v>25</v>
      </c>
      <c r="D10">
        <v>9346012685</v>
      </c>
      <c r="E10">
        <v>2223499306</v>
      </c>
      <c r="F10" s="2">
        <v>0.3121790283407202</v>
      </c>
      <c r="G10">
        <v>0.48027154534828942</v>
      </c>
      <c r="H10">
        <v>313286</v>
      </c>
      <c r="I10">
        <v>97646</v>
      </c>
      <c r="J10" s="2">
        <v>0.45281951400482279</v>
      </c>
      <c r="K10">
        <v>0.28026259533562281</v>
      </c>
      <c r="L10" t="s">
        <v>37</v>
      </c>
      <c r="M10">
        <v>0.20000895001266669</v>
      </c>
    </row>
    <row r="11" spans="1:13">
      <c r="A11" t="s">
        <v>24</v>
      </c>
      <c r="B11">
        <v>2020</v>
      </c>
      <c r="C11" t="s">
        <v>27</v>
      </c>
      <c r="D11">
        <v>8010722086</v>
      </c>
      <c r="E11">
        <v>-1335290599</v>
      </c>
      <c r="F11" s="2">
        <v>-0.14287275697186799</v>
      </c>
      <c r="G11">
        <v>0.33252117704683859</v>
      </c>
      <c r="H11">
        <v>489538</v>
      </c>
      <c r="I11">
        <v>176252</v>
      </c>
      <c r="J11" s="2">
        <v>0.56259137018570882</v>
      </c>
      <c r="K11">
        <v>0.58411601638462496</v>
      </c>
      <c r="L11" t="s">
        <v>38</v>
      </c>
      <c r="M11">
        <v>-0.25159483933778642</v>
      </c>
    </row>
    <row r="12" spans="1:13">
      <c r="A12" t="s">
        <v>24</v>
      </c>
      <c r="B12">
        <v>2020</v>
      </c>
      <c r="C12" t="s">
        <v>29</v>
      </c>
      <c r="D12">
        <v>10815798119</v>
      </c>
      <c r="E12">
        <v>2805076033</v>
      </c>
      <c r="F12" s="2">
        <v>0.35016519146286612</v>
      </c>
      <c r="G12">
        <v>0.64290381382995176</v>
      </c>
      <c r="H12">
        <v>730774</v>
      </c>
      <c r="I12">
        <v>241236</v>
      </c>
      <c r="J12" s="2">
        <v>0.492782991310174</v>
      </c>
      <c r="K12">
        <v>1</v>
      </c>
      <c r="L12" t="s">
        <v>39</v>
      </c>
      <c r="M12">
        <v>-0.35709618617004818</v>
      </c>
    </row>
    <row r="13" spans="1:13">
      <c r="A13" t="s">
        <v>24</v>
      </c>
      <c r="B13">
        <v>2020</v>
      </c>
      <c r="C13" t="s">
        <v>31</v>
      </c>
      <c r="D13">
        <v>14043046794</v>
      </c>
      <c r="E13">
        <v>3227248675</v>
      </c>
      <c r="F13" s="2">
        <v>0.29838285066829462</v>
      </c>
      <c r="G13">
        <v>1</v>
      </c>
      <c r="L13" t="s">
        <v>40</v>
      </c>
    </row>
    <row r="14" spans="1:13">
      <c r="A14" t="s">
        <v>41</v>
      </c>
      <c r="B14">
        <v>2018</v>
      </c>
      <c r="C14" t="s">
        <v>25</v>
      </c>
      <c r="D14">
        <v>8292544</v>
      </c>
      <c r="E14">
        <v>0</v>
      </c>
      <c r="F14" s="2">
        <v>0</v>
      </c>
      <c r="G14">
        <v>0.48722662046800153</v>
      </c>
      <c r="L14" t="s">
        <v>26</v>
      </c>
    </row>
    <row r="15" spans="1:13">
      <c r="A15" t="s">
        <v>41</v>
      </c>
      <c r="B15">
        <v>2018</v>
      </c>
      <c r="C15" t="s">
        <v>27</v>
      </c>
      <c r="D15">
        <v>7644103</v>
      </c>
      <c r="E15">
        <v>-648441</v>
      </c>
      <c r="F15" s="2">
        <v>-7.8195665889743804E-2</v>
      </c>
      <c r="G15">
        <v>0.43041507131571399</v>
      </c>
      <c r="H15">
        <v>264</v>
      </c>
      <c r="K15">
        <v>1.570048309178744E-2</v>
      </c>
      <c r="L15" t="s">
        <v>28</v>
      </c>
      <c r="M15">
        <v>0.41471458822392648</v>
      </c>
    </row>
    <row r="16" spans="1:13">
      <c r="A16" t="s">
        <v>41</v>
      </c>
      <c r="B16">
        <v>2018</v>
      </c>
      <c r="C16" t="s">
        <v>29</v>
      </c>
      <c r="D16">
        <v>11051024</v>
      </c>
      <c r="E16">
        <v>3406921</v>
      </c>
      <c r="F16" s="2">
        <v>0.44569271240850622</v>
      </c>
      <c r="G16">
        <v>0.72890400068548034</v>
      </c>
      <c r="H16">
        <v>301</v>
      </c>
      <c r="I16">
        <v>37</v>
      </c>
      <c r="J16" s="2">
        <v>0.14015151515151511</v>
      </c>
      <c r="K16">
        <v>6.0386473429951688E-2</v>
      </c>
      <c r="L16" t="s">
        <v>30</v>
      </c>
      <c r="M16">
        <v>0.6685175272555286</v>
      </c>
    </row>
    <row r="17" spans="1:13">
      <c r="A17" t="s">
        <v>41</v>
      </c>
      <c r="B17">
        <v>2018</v>
      </c>
      <c r="C17" t="s">
        <v>31</v>
      </c>
      <c r="D17">
        <v>14145285</v>
      </c>
      <c r="E17">
        <v>3094261</v>
      </c>
      <c r="F17" s="2">
        <v>0.27999767261386821</v>
      </c>
      <c r="G17">
        <v>1</v>
      </c>
      <c r="H17">
        <v>260</v>
      </c>
      <c r="I17">
        <v>-41</v>
      </c>
      <c r="J17" s="2">
        <v>-0.13621262458471761</v>
      </c>
      <c r="K17">
        <v>1.0869565217391301E-2</v>
      </c>
      <c r="L17" t="s">
        <v>32</v>
      </c>
      <c r="M17">
        <v>0.98913043478260865</v>
      </c>
    </row>
    <row r="18" spans="1:13">
      <c r="A18" t="s">
        <v>41</v>
      </c>
      <c r="B18">
        <v>2019</v>
      </c>
      <c r="C18" t="s">
        <v>25</v>
      </c>
      <c r="D18">
        <v>13652117</v>
      </c>
      <c r="E18">
        <v>-493168</v>
      </c>
      <c r="F18" s="2">
        <v>-3.486447957747052E-2</v>
      </c>
      <c r="G18">
        <v>0.95679230944321014</v>
      </c>
      <c r="H18">
        <v>254</v>
      </c>
      <c r="I18">
        <v>-6</v>
      </c>
      <c r="J18" s="2">
        <v>-2.3076923076923109E-2</v>
      </c>
      <c r="K18">
        <v>3.6231884057971011E-3</v>
      </c>
      <c r="L18" t="s">
        <v>33</v>
      </c>
      <c r="M18">
        <v>0.95316912103741303</v>
      </c>
    </row>
    <row r="19" spans="1:13">
      <c r="A19" t="s">
        <v>41</v>
      </c>
      <c r="B19">
        <v>2019</v>
      </c>
      <c r="C19" t="s">
        <v>27</v>
      </c>
      <c r="D19">
        <v>14075535</v>
      </c>
      <c r="E19">
        <v>423418</v>
      </c>
      <c r="F19" s="2">
        <v>3.1014823561796408E-2</v>
      </c>
      <c r="G19">
        <v>0.99388902682993197</v>
      </c>
      <c r="H19">
        <v>251</v>
      </c>
      <c r="I19">
        <v>-3</v>
      </c>
      <c r="J19" s="2">
        <v>-1.181102362204722E-2</v>
      </c>
      <c r="K19">
        <v>0</v>
      </c>
      <c r="L19" t="s">
        <v>34</v>
      </c>
      <c r="M19">
        <v>0.99388902682993197</v>
      </c>
    </row>
    <row r="20" spans="1:13">
      <c r="A20" t="s">
        <v>41</v>
      </c>
      <c r="B20">
        <v>2019</v>
      </c>
      <c r="C20" t="s">
        <v>29</v>
      </c>
      <c r="D20">
        <v>7871411</v>
      </c>
      <c r="E20">
        <v>-6204124</v>
      </c>
      <c r="F20" s="2">
        <v>-0.44077358338421951</v>
      </c>
      <c r="G20">
        <v>0.45033009768620602</v>
      </c>
      <c r="H20">
        <v>259</v>
      </c>
      <c r="I20">
        <v>8</v>
      </c>
      <c r="J20" s="2">
        <v>3.1872509960159327E-2</v>
      </c>
      <c r="K20">
        <v>9.6618357487922701E-3</v>
      </c>
      <c r="L20" t="s">
        <v>35</v>
      </c>
      <c r="M20">
        <v>0.44066826193741371</v>
      </c>
    </row>
    <row r="21" spans="1:13">
      <c r="A21" t="s">
        <v>41</v>
      </c>
      <c r="B21">
        <v>2019</v>
      </c>
      <c r="C21" t="s">
        <v>31</v>
      </c>
      <c r="D21">
        <v>7195555</v>
      </c>
      <c r="E21">
        <v>-675856</v>
      </c>
      <c r="F21" s="2">
        <v>-8.5862115445375697E-2</v>
      </c>
      <c r="G21">
        <v>0.39111665133739631</v>
      </c>
      <c r="H21">
        <v>316</v>
      </c>
      <c r="I21">
        <v>57</v>
      </c>
      <c r="J21" s="2">
        <v>0.22007722007722011</v>
      </c>
      <c r="K21">
        <v>7.85024154589372E-2</v>
      </c>
      <c r="L21" t="s">
        <v>36</v>
      </c>
      <c r="M21">
        <v>0.3126142358784591</v>
      </c>
    </row>
    <row r="22" spans="1:13">
      <c r="A22" t="s">
        <v>41</v>
      </c>
      <c r="B22">
        <v>2020</v>
      </c>
      <c r="C22" t="s">
        <v>25</v>
      </c>
      <c r="D22">
        <v>5214154</v>
      </c>
      <c r="E22">
        <v>-1981401</v>
      </c>
      <c r="F22" s="2">
        <v>-0.27536458271808079</v>
      </c>
      <c r="G22">
        <v>0.21752111943566321</v>
      </c>
      <c r="H22">
        <v>387</v>
      </c>
      <c r="I22">
        <v>71</v>
      </c>
      <c r="J22" s="2">
        <v>0.22468354430379761</v>
      </c>
      <c r="K22">
        <v>0.16425120772946861</v>
      </c>
      <c r="L22" t="s">
        <v>37</v>
      </c>
      <c r="M22">
        <v>5.3269911706194627E-2</v>
      </c>
    </row>
    <row r="23" spans="1:13">
      <c r="A23" t="s">
        <v>41</v>
      </c>
      <c r="B23">
        <v>2020</v>
      </c>
      <c r="C23" t="s">
        <v>27</v>
      </c>
      <c r="D23">
        <v>2731391</v>
      </c>
      <c r="E23">
        <v>-2482763</v>
      </c>
      <c r="F23" s="2">
        <v>-0.47615835665766681</v>
      </c>
      <c r="G23">
        <v>0</v>
      </c>
      <c r="H23">
        <v>1072</v>
      </c>
      <c r="I23">
        <v>685</v>
      </c>
      <c r="J23" s="2">
        <v>1.770025839793282</v>
      </c>
      <c r="K23">
        <v>0.99154589371980673</v>
      </c>
      <c r="L23" t="s">
        <v>38</v>
      </c>
      <c r="M23">
        <v>-0.99154589371980673</v>
      </c>
    </row>
    <row r="24" spans="1:13">
      <c r="A24" t="s">
        <v>41</v>
      </c>
      <c r="B24">
        <v>2020</v>
      </c>
      <c r="C24" t="s">
        <v>29</v>
      </c>
      <c r="D24">
        <v>2847530</v>
      </c>
      <c r="E24">
        <v>116139</v>
      </c>
      <c r="F24" s="2">
        <v>4.252009324186834E-2</v>
      </c>
      <c r="G24">
        <v>1.017523029388568E-2</v>
      </c>
      <c r="H24">
        <v>1079</v>
      </c>
      <c r="I24">
        <v>7</v>
      </c>
      <c r="J24" s="2">
        <v>6.5298507462685507E-3</v>
      </c>
      <c r="K24">
        <v>1</v>
      </c>
      <c r="L24" t="s">
        <v>39</v>
      </c>
      <c r="M24">
        <v>-0.98982476970611433</v>
      </c>
    </row>
    <row r="25" spans="1:13">
      <c r="A25" t="s">
        <v>41</v>
      </c>
      <c r="B25">
        <v>2020</v>
      </c>
      <c r="C25" t="s">
        <v>31</v>
      </c>
      <c r="D25">
        <v>4455378</v>
      </c>
      <c r="E25">
        <v>1607848</v>
      </c>
      <c r="F25" s="2">
        <v>0.56464655332867442</v>
      </c>
      <c r="G25">
        <v>0.15104284304725449</v>
      </c>
      <c r="L25" t="s">
        <v>40</v>
      </c>
    </row>
    <row r="26" spans="1:13">
      <c r="A26" t="s">
        <v>1</v>
      </c>
      <c r="B26">
        <v>2018</v>
      </c>
      <c r="C26" t="s">
        <v>25</v>
      </c>
      <c r="D26">
        <v>2569051728</v>
      </c>
      <c r="E26">
        <v>0</v>
      </c>
      <c r="F26" s="2">
        <v>0</v>
      </c>
      <c r="G26">
        <v>0</v>
      </c>
      <c r="L26" t="s">
        <v>26</v>
      </c>
    </row>
    <row r="27" spans="1:13">
      <c r="A27" t="s">
        <v>1</v>
      </c>
      <c r="B27">
        <v>2018</v>
      </c>
      <c r="C27" t="s">
        <v>27</v>
      </c>
      <c r="D27">
        <v>3399340804</v>
      </c>
      <c r="E27">
        <v>830289076</v>
      </c>
      <c r="F27" s="2">
        <v>0.32318892879840072</v>
      </c>
      <c r="G27">
        <v>0.14419545810869519</v>
      </c>
      <c r="H27">
        <v>78884</v>
      </c>
      <c r="K27">
        <v>0</v>
      </c>
      <c r="L27" t="s">
        <v>28</v>
      </c>
      <c r="M27">
        <v>0.14419545810869519</v>
      </c>
    </row>
    <row r="28" spans="1:13">
      <c r="A28" t="s">
        <v>1</v>
      </c>
      <c r="B28">
        <v>2018</v>
      </c>
      <c r="C28" t="s">
        <v>29</v>
      </c>
      <c r="D28">
        <v>4076329948</v>
      </c>
      <c r="E28">
        <v>676989144</v>
      </c>
      <c r="F28" s="2">
        <v>0.19915306614840961</v>
      </c>
      <c r="G28">
        <v>0.26176747317600352</v>
      </c>
      <c r="H28">
        <v>97935</v>
      </c>
      <c r="I28">
        <v>19051</v>
      </c>
      <c r="J28" s="2">
        <v>0.24150651589675981</v>
      </c>
      <c r="K28">
        <v>5.4573475532027647E-2</v>
      </c>
      <c r="L28" t="s">
        <v>30</v>
      </c>
      <c r="M28">
        <v>0.20719399764397589</v>
      </c>
    </row>
    <row r="29" spans="1:13">
      <c r="A29" t="s">
        <v>1</v>
      </c>
      <c r="B29">
        <v>2018</v>
      </c>
      <c r="C29" t="s">
        <v>31</v>
      </c>
      <c r="D29">
        <v>5002973303</v>
      </c>
      <c r="E29">
        <v>926643355</v>
      </c>
      <c r="F29" s="2">
        <v>0.2273229514835142</v>
      </c>
      <c r="G29">
        <v>0.42269668077357919</v>
      </c>
      <c r="H29">
        <v>122735</v>
      </c>
      <c r="I29">
        <v>24800</v>
      </c>
      <c r="J29" s="2">
        <v>0.25322918262112609</v>
      </c>
      <c r="K29">
        <v>0.12561553070993359</v>
      </c>
      <c r="L29" t="s">
        <v>32</v>
      </c>
      <c r="M29">
        <v>0.29708115006364572</v>
      </c>
    </row>
    <row r="30" spans="1:13">
      <c r="A30" t="s">
        <v>1</v>
      </c>
      <c r="B30">
        <v>2019</v>
      </c>
      <c r="C30" t="s">
        <v>25</v>
      </c>
      <c r="D30">
        <v>3271433349</v>
      </c>
      <c r="E30">
        <v>-1731539954</v>
      </c>
      <c r="F30" s="2">
        <v>-0.34610217747148347</v>
      </c>
      <c r="G30">
        <v>0.1219819006834952</v>
      </c>
      <c r="H30">
        <v>115241</v>
      </c>
      <c r="I30">
        <v>-7494</v>
      </c>
      <c r="J30" s="2">
        <v>-6.105837780584189E-2</v>
      </c>
      <c r="K30">
        <v>0.1041482258106099</v>
      </c>
      <c r="L30" t="s">
        <v>33</v>
      </c>
      <c r="M30">
        <v>1.7833674872885261E-2</v>
      </c>
    </row>
    <row r="31" spans="1:13">
      <c r="A31" t="s">
        <v>1</v>
      </c>
      <c r="B31">
        <v>2019</v>
      </c>
      <c r="C31" t="s">
        <v>27</v>
      </c>
      <c r="D31">
        <v>4457152612</v>
      </c>
      <c r="E31">
        <v>1185719263</v>
      </c>
      <c r="F31" s="2">
        <v>0.36244640697400921</v>
      </c>
      <c r="G31">
        <v>0.32790455733252649</v>
      </c>
      <c r="H31">
        <v>112766</v>
      </c>
      <c r="I31">
        <v>-2475</v>
      </c>
      <c r="J31" s="2">
        <v>-2.1476731371647299E-2</v>
      </c>
      <c r="K31">
        <v>9.7058343287814861E-2</v>
      </c>
      <c r="L31" t="s">
        <v>34</v>
      </c>
      <c r="M31">
        <v>0.23084621404471159</v>
      </c>
    </row>
    <row r="32" spans="1:13">
      <c r="A32" t="s">
        <v>1</v>
      </c>
      <c r="B32">
        <v>2019</v>
      </c>
      <c r="C32" t="s">
        <v>29</v>
      </c>
      <c r="D32">
        <v>4162737924</v>
      </c>
      <c r="E32">
        <v>-294414688</v>
      </c>
      <c r="F32" s="2">
        <v>-6.6054432869843138E-2</v>
      </c>
      <c r="G32">
        <v>0.27677385835403168</v>
      </c>
      <c r="H32">
        <v>117853</v>
      </c>
      <c r="I32">
        <v>5087</v>
      </c>
      <c r="J32" s="2">
        <v>4.5111115052409501E-2</v>
      </c>
      <c r="K32">
        <v>0.1116305583962829</v>
      </c>
      <c r="L32" t="s">
        <v>35</v>
      </c>
      <c r="M32">
        <v>0.16514329995774879</v>
      </c>
    </row>
    <row r="33" spans="1:13">
      <c r="A33" t="s">
        <v>1</v>
      </c>
      <c r="B33">
        <v>2019</v>
      </c>
      <c r="C33" t="s">
        <v>31</v>
      </c>
      <c r="D33">
        <v>3979265357</v>
      </c>
      <c r="E33">
        <v>-183472567</v>
      </c>
      <c r="F33" s="2">
        <v>-4.4074974295691398E-2</v>
      </c>
      <c r="G33">
        <v>0.24491036452559639</v>
      </c>
      <c r="H33">
        <v>114894</v>
      </c>
      <c r="I33">
        <v>-2959</v>
      </c>
      <c r="J33" s="2">
        <v>-2.5107549235063979E-2</v>
      </c>
      <c r="K33">
        <v>0.103154209957919</v>
      </c>
      <c r="L33" t="s">
        <v>36</v>
      </c>
      <c r="M33">
        <v>0.14175615456767729</v>
      </c>
    </row>
    <row r="34" spans="1:13">
      <c r="A34" t="s">
        <v>1</v>
      </c>
      <c r="B34">
        <v>2020</v>
      </c>
      <c r="C34" t="s">
        <v>25</v>
      </c>
      <c r="D34">
        <v>4498120755</v>
      </c>
      <c r="E34">
        <v>518855398</v>
      </c>
      <c r="F34" s="2">
        <v>0.130389745707024</v>
      </c>
      <c r="G34">
        <v>0.3350194529977894</v>
      </c>
      <c r="H34">
        <v>110500</v>
      </c>
      <c r="I34">
        <v>-4394</v>
      </c>
      <c r="J34" s="2">
        <v>-3.8243946594252121E-2</v>
      </c>
      <c r="K34">
        <v>9.0567161955833614E-2</v>
      </c>
      <c r="L34" t="s">
        <v>37</v>
      </c>
      <c r="M34">
        <v>0.24445229104195579</v>
      </c>
    </row>
    <row r="35" spans="1:13">
      <c r="A35" t="s">
        <v>1</v>
      </c>
      <c r="B35">
        <v>2020</v>
      </c>
      <c r="C35" t="s">
        <v>27</v>
      </c>
      <c r="D35">
        <v>5106836881</v>
      </c>
      <c r="E35">
        <v>608716126</v>
      </c>
      <c r="F35" s="2">
        <v>0.1353267640321496</v>
      </c>
      <c r="G35">
        <v>0.4407345625709283</v>
      </c>
      <c r="H35">
        <v>291879</v>
      </c>
      <c r="I35">
        <v>181379</v>
      </c>
      <c r="J35" s="2">
        <v>1.641438914027149</v>
      </c>
      <c r="K35">
        <v>0.61014526381524481</v>
      </c>
      <c r="L35" t="s">
        <v>38</v>
      </c>
      <c r="M35">
        <v>-0.16941070124431651</v>
      </c>
    </row>
    <row r="36" spans="1:13">
      <c r="A36" t="s">
        <v>1</v>
      </c>
      <c r="B36">
        <v>2020</v>
      </c>
      <c r="C36" t="s">
        <v>29</v>
      </c>
      <c r="D36">
        <v>7038475803</v>
      </c>
      <c r="E36">
        <v>1931638922</v>
      </c>
      <c r="F36" s="2">
        <v>0.37824566693850498</v>
      </c>
      <c r="G36">
        <v>0.77620032661571048</v>
      </c>
      <c r="H36">
        <v>427973</v>
      </c>
      <c r="I36">
        <v>136094</v>
      </c>
      <c r="J36" s="2">
        <v>0.46626855649087462</v>
      </c>
      <c r="K36">
        <v>1</v>
      </c>
      <c r="L36" t="s">
        <v>39</v>
      </c>
      <c r="M36">
        <v>-0.22379967338428949</v>
      </c>
    </row>
    <row r="37" spans="1:13">
      <c r="A37" t="s">
        <v>1</v>
      </c>
      <c r="B37">
        <v>2020</v>
      </c>
      <c r="C37" t="s">
        <v>31</v>
      </c>
      <c r="D37">
        <v>8327132370</v>
      </c>
      <c r="E37">
        <v>1288656567</v>
      </c>
      <c r="F37" s="2">
        <v>0.1830874472070696</v>
      </c>
      <c r="G37">
        <v>1</v>
      </c>
      <c r="L37" t="s">
        <v>40</v>
      </c>
    </row>
    <row r="38" spans="1:13">
      <c r="A38" t="s">
        <v>42</v>
      </c>
      <c r="B38">
        <v>2018</v>
      </c>
      <c r="C38" t="s">
        <v>25</v>
      </c>
      <c r="D38">
        <v>695520439</v>
      </c>
      <c r="E38">
        <v>0</v>
      </c>
      <c r="F38" s="2">
        <v>0</v>
      </c>
      <c r="G38">
        <v>1</v>
      </c>
      <c r="L38" t="s">
        <v>26</v>
      </c>
    </row>
    <row r="39" spans="1:13">
      <c r="A39" t="s">
        <v>42</v>
      </c>
      <c r="B39">
        <v>2018</v>
      </c>
      <c r="C39" t="s">
        <v>27</v>
      </c>
      <c r="D39">
        <v>197940253</v>
      </c>
      <c r="E39">
        <v>-497580186</v>
      </c>
      <c r="F39" s="2">
        <v>-0.71540699323718937</v>
      </c>
      <c r="G39">
        <v>0.1656377589060716</v>
      </c>
      <c r="H39">
        <v>18959</v>
      </c>
      <c r="K39">
        <v>7.7378001826893996E-3</v>
      </c>
      <c r="L39" t="s">
        <v>28</v>
      </c>
      <c r="M39">
        <v>0.15789995872338219</v>
      </c>
    </row>
    <row r="40" spans="1:13">
      <c r="A40" t="s">
        <v>42</v>
      </c>
      <c r="B40">
        <v>2018</v>
      </c>
      <c r="C40" t="s">
        <v>29</v>
      </c>
      <c r="D40">
        <v>200623324</v>
      </c>
      <c r="E40">
        <v>2683071</v>
      </c>
      <c r="F40" s="2">
        <v>1.3554953877926049E-2</v>
      </c>
      <c r="G40">
        <v>0.17013683904543661</v>
      </c>
      <c r="H40">
        <v>16477</v>
      </c>
      <c r="I40">
        <v>-2482</v>
      </c>
      <c r="J40" s="2">
        <v>-0.1309140777467166</v>
      </c>
      <c r="K40">
        <v>0</v>
      </c>
      <c r="L40" t="s">
        <v>30</v>
      </c>
      <c r="M40">
        <v>0.17013683904543661</v>
      </c>
    </row>
    <row r="41" spans="1:13">
      <c r="A41" t="s">
        <v>42</v>
      </c>
      <c r="B41">
        <v>2018</v>
      </c>
      <c r="C41" t="s">
        <v>31</v>
      </c>
      <c r="D41">
        <v>320699537</v>
      </c>
      <c r="E41">
        <v>120076213</v>
      </c>
      <c r="F41" s="2">
        <v>0.59851571894003719</v>
      </c>
      <c r="G41">
        <v>0.37148540757696552</v>
      </c>
      <c r="H41">
        <v>17321</v>
      </c>
      <c r="I41">
        <v>844</v>
      </c>
      <c r="J41" s="2">
        <v>5.1222916793105533E-2</v>
      </c>
      <c r="K41">
        <v>2.6312261701006662E-3</v>
      </c>
      <c r="L41" t="s">
        <v>32</v>
      </c>
      <c r="M41">
        <v>0.36885418140686482</v>
      </c>
    </row>
    <row r="42" spans="1:13">
      <c r="A42" t="s">
        <v>42</v>
      </c>
      <c r="B42">
        <v>2019</v>
      </c>
      <c r="C42" t="s">
        <v>25</v>
      </c>
      <c r="D42">
        <v>194517840</v>
      </c>
      <c r="E42">
        <v>-126181697</v>
      </c>
      <c r="F42" s="2">
        <v>-0.3934576837259357</v>
      </c>
      <c r="G42">
        <v>0.15989892070275741</v>
      </c>
      <c r="H42">
        <v>38178</v>
      </c>
      <c r="I42">
        <v>20857</v>
      </c>
      <c r="J42" s="2">
        <v>1.20414525720224</v>
      </c>
      <c r="K42">
        <v>6.7654311750420096E-2</v>
      </c>
      <c r="L42" t="s">
        <v>33</v>
      </c>
      <c r="M42">
        <v>9.2244608952337284E-2</v>
      </c>
    </row>
    <row r="43" spans="1:13">
      <c r="A43" t="s">
        <v>42</v>
      </c>
      <c r="B43">
        <v>2019</v>
      </c>
      <c r="C43" t="s">
        <v>27</v>
      </c>
      <c r="D43">
        <v>297255225</v>
      </c>
      <c r="E43">
        <v>102737385</v>
      </c>
      <c r="F43" s="2">
        <v>0.52816433186796652</v>
      </c>
      <c r="G43">
        <v>0.33217305300257072</v>
      </c>
      <c r="H43">
        <v>36617</v>
      </c>
      <c r="I43">
        <v>-1561</v>
      </c>
      <c r="J43" s="2">
        <v>-4.0887422075540858E-2</v>
      </c>
      <c r="K43">
        <v>6.2787790362354767E-2</v>
      </c>
      <c r="L43" t="s">
        <v>34</v>
      </c>
      <c r="M43">
        <v>0.26938526264021601</v>
      </c>
    </row>
    <row r="44" spans="1:13">
      <c r="A44" t="s">
        <v>42</v>
      </c>
      <c r="B44">
        <v>2019</v>
      </c>
      <c r="C44" t="s">
        <v>29</v>
      </c>
      <c r="D44">
        <v>369885812</v>
      </c>
      <c r="E44">
        <v>72630587</v>
      </c>
      <c r="F44" s="2">
        <v>0.2443374611833988</v>
      </c>
      <c r="G44">
        <v>0.45396290928372007</v>
      </c>
      <c r="H44">
        <v>32259</v>
      </c>
      <c r="I44">
        <v>-4358</v>
      </c>
      <c r="J44" s="2">
        <v>-0.1190157577081683</v>
      </c>
      <c r="K44">
        <v>4.9201435327640659E-2</v>
      </c>
      <c r="L44" t="s">
        <v>35</v>
      </c>
      <c r="M44">
        <v>0.40476147395607942</v>
      </c>
    </row>
    <row r="45" spans="1:13">
      <c r="A45" t="s">
        <v>42</v>
      </c>
      <c r="B45">
        <v>2019</v>
      </c>
      <c r="C45" t="s">
        <v>31</v>
      </c>
      <c r="D45">
        <v>609837017</v>
      </c>
      <c r="E45">
        <v>239951205</v>
      </c>
      <c r="F45" s="2">
        <v>0.64871697484844315</v>
      </c>
      <c r="G45">
        <v>0.85632263097285632</v>
      </c>
      <c r="H45">
        <v>39004</v>
      </c>
      <c r="I45">
        <v>6745</v>
      </c>
      <c r="J45" s="2">
        <v>0.2090889364208437</v>
      </c>
      <c r="K45">
        <v>7.0229421722580218E-2</v>
      </c>
      <c r="L45" t="s">
        <v>36</v>
      </c>
      <c r="M45">
        <v>0.78609320925027615</v>
      </c>
    </row>
    <row r="46" spans="1:13">
      <c r="A46" t="s">
        <v>42</v>
      </c>
      <c r="B46">
        <v>2020</v>
      </c>
      <c r="C46" t="s">
        <v>25</v>
      </c>
      <c r="D46">
        <v>264278775</v>
      </c>
      <c r="E46">
        <v>-345558242</v>
      </c>
      <c r="F46" s="2">
        <v>-0.56664031924451053</v>
      </c>
      <c r="G46">
        <v>0.27687683040474842</v>
      </c>
      <c r="H46">
        <v>172869</v>
      </c>
      <c r="I46">
        <v>133865</v>
      </c>
      <c r="J46" s="2">
        <v>3.4320838888319138</v>
      </c>
      <c r="K46">
        <v>0.48756246823979082</v>
      </c>
      <c r="L46" t="s">
        <v>37</v>
      </c>
      <c r="M46">
        <v>-0.21068563783504241</v>
      </c>
    </row>
    <row r="47" spans="1:13">
      <c r="A47" t="s">
        <v>42</v>
      </c>
      <c r="B47">
        <v>2020</v>
      </c>
      <c r="C47" t="s">
        <v>27</v>
      </c>
      <c r="D47">
        <v>99160535</v>
      </c>
      <c r="E47">
        <v>-165118240</v>
      </c>
      <c r="F47" s="2">
        <v>-0.62478812382871074</v>
      </c>
      <c r="G47">
        <v>0</v>
      </c>
      <c r="H47">
        <v>337240</v>
      </c>
      <c r="I47">
        <v>164371</v>
      </c>
      <c r="J47" s="2">
        <v>0.95084138856590839</v>
      </c>
      <c r="K47">
        <v>1</v>
      </c>
      <c r="L47" t="s">
        <v>38</v>
      </c>
      <c r="M47">
        <v>-1</v>
      </c>
    </row>
    <row r="48" spans="1:13">
      <c r="A48" t="s">
        <v>42</v>
      </c>
      <c r="B48">
        <v>2020</v>
      </c>
      <c r="C48" t="s">
        <v>29</v>
      </c>
      <c r="D48">
        <v>150658497</v>
      </c>
      <c r="E48">
        <v>51497962</v>
      </c>
      <c r="F48" s="2">
        <v>0.51933929158409642</v>
      </c>
      <c r="G48">
        <v>8.6353830387631156E-2</v>
      </c>
      <c r="H48">
        <v>320552</v>
      </c>
      <c r="I48">
        <v>-16688</v>
      </c>
      <c r="J48" s="2">
        <v>-4.9484046969517248E-2</v>
      </c>
      <c r="K48">
        <v>0.94797404937601903</v>
      </c>
      <c r="L48" t="s">
        <v>39</v>
      </c>
      <c r="M48">
        <v>-0.86162021898838792</v>
      </c>
    </row>
    <row r="49" spans="1:13">
      <c r="A49" t="s">
        <v>42</v>
      </c>
      <c r="B49">
        <v>2020</v>
      </c>
      <c r="C49" t="s">
        <v>31</v>
      </c>
      <c r="D49">
        <v>140427834</v>
      </c>
      <c r="E49">
        <v>-10230663</v>
      </c>
      <c r="F49" s="2">
        <v>-6.7906312645611977E-2</v>
      </c>
      <c r="G49">
        <v>6.9198647868854712E-2</v>
      </c>
      <c r="L49" t="s">
        <v>40</v>
      </c>
    </row>
    <row r="50" spans="1:13">
      <c r="A50" t="s">
        <v>43</v>
      </c>
      <c r="B50">
        <v>2020</v>
      </c>
      <c r="C50" t="s">
        <v>25</v>
      </c>
      <c r="F50" s="2"/>
      <c r="H50">
        <v>1318</v>
      </c>
      <c r="K50">
        <v>0</v>
      </c>
      <c r="L50" t="s">
        <v>37</v>
      </c>
    </row>
    <row r="51" spans="1:13">
      <c r="A51" t="s">
        <v>43</v>
      </c>
      <c r="B51">
        <v>2020</v>
      </c>
      <c r="C51" t="s">
        <v>27</v>
      </c>
      <c r="F51" s="2"/>
      <c r="H51">
        <v>24803</v>
      </c>
      <c r="I51">
        <v>23485</v>
      </c>
      <c r="J51" s="2">
        <v>17.818664643399089</v>
      </c>
      <c r="K51">
        <v>0.78129678299344618</v>
      </c>
      <c r="L51" t="s">
        <v>38</v>
      </c>
    </row>
    <row r="52" spans="1:13">
      <c r="A52" t="s">
        <v>43</v>
      </c>
      <c r="B52">
        <v>2020</v>
      </c>
      <c r="C52" t="s">
        <v>29</v>
      </c>
      <c r="F52" s="2"/>
      <c r="H52">
        <v>31377</v>
      </c>
      <c r="I52">
        <v>6574</v>
      </c>
      <c r="J52" s="2">
        <v>0.26504858283272181</v>
      </c>
      <c r="K52">
        <v>1</v>
      </c>
      <c r="L52" t="s">
        <v>39</v>
      </c>
    </row>
    <row r="53" spans="1:13">
      <c r="A53" t="s">
        <v>44</v>
      </c>
      <c r="B53">
        <v>2018</v>
      </c>
      <c r="C53" t="s">
        <v>25</v>
      </c>
      <c r="D53">
        <v>22464806</v>
      </c>
      <c r="E53">
        <v>0</v>
      </c>
      <c r="F53" s="2">
        <v>0</v>
      </c>
      <c r="G53">
        <v>0.21242495164211669</v>
      </c>
      <c r="L53" t="s">
        <v>26</v>
      </c>
    </row>
    <row r="54" spans="1:13">
      <c r="A54" t="s">
        <v>44</v>
      </c>
      <c r="B54">
        <v>2018</v>
      </c>
      <c r="C54" t="s">
        <v>27</v>
      </c>
      <c r="D54">
        <v>21825596</v>
      </c>
      <c r="E54">
        <v>-639210</v>
      </c>
      <c r="F54" s="2">
        <v>-2.845384019786323E-2</v>
      </c>
      <c r="G54">
        <v>0.20464780752511849</v>
      </c>
      <c r="L54" t="s">
        <v>28</v>
      </c>
    </row>
    <row r="55" spans="1:13">
      <c r="A55" t="s">
        <v>44</v>
      </c>
      <c r="B55">
        <v>2018</v>
      </c>
      <c r="C55" t="s">
        <v>29</v>
      </c>
      <c r="D55">
        <v>20152836</v>
      </c>
      <c r="E55">
        <v>-1672760</v>
      </c>
      <c r="F55" s="2">
        <v>-7.6642122396107792E-2</v>
      </c>
      <c r="G55">
        <v>0.18429566097992989</v>
      </c>
      <c r="L55" t="s">
        <v>30</v>
      </c>
    </row>
    <row r="56" spans="1:13">
      <c r="A56" t="s">
        <v>44</v>
      </c>
      <c r="B56">
        <v>2018</v>
      </c>
      <c r="C56" t="s">
        <v>31</v>
      </c>
      <c r="D56">
        <v>23637183</v>
      </c>
      <c r="E56">
        <v>3484347</v>
      </c>
      <c r="F56" s="2">
        <v>0.17289611248759229</v>
      </c>
      <c r="G56">
        <v>0.2266890352585402</v>
      </c>
      <c r="L56" t="s">
        <v>32</v>
      </c>
    </row>
    <row r="57" spans="1:13">
      <c r="A57" t="s">
        <v>44</v>
      </c>
      <c r="B57">
        <v>2019</v>
      </c>
      <c r="C57" t="s">
        <v>25</v>
      </c>
      <c r="D57">
        <v>5783195</v>
      </c>
      <c r="E57">
        <v>-17853988</v>
      </c>
      <c r="F57" s="2">
        <v>-0.75533484679625318</v>
      </c>
      <c r="G57">
        <v>9.4630254352312919E-3</v>
      </c>
      <c r="L57" t="s">
        <v>33</v>
      </c>
    </row>
    <row r="58" spans="1:13">
      <c r="A58" t="s">
        <v>44</v>
      </c>
      <c r="B58">
        <v>2019</v>
      </c>
      <c r="C58" t="s">
        <v>27</v>
      </c>
      <c r="D58">
        <v>5005421</v>
      </c>
      <c r="E58">
        <v>-777774</v>
      </c>
      <c r="F58" s="2">
        <v>-0.13448863474256009</v>
      </c>
      <c r="G58">
        <v>0</v>
      </c>
      <c r="L58" t="s">
        <v>34</v>
      </c>
    </row>
    <row r="59" spans="1:13">
      <c r="A59" t="s">
        <v>44</v>
      </c>
      <c r="B59">
        <v>2019</v>
      </c>
      <c r="C59" t="s">
        <v>29</v>
      </c>
      <c r="D59">
        <v>6136446</v>
      </c>
      <c r="E59">
        <v>1131025</v>
      </c>
      <c r="F59" s="2">
        <v>0.22596001415265571</v>
      </c>
      <c r="G59">
        <v>1.3760961851235031E-2</v>
      </c>
      <c r="L59" t="s">
        <v>35</v>
      </c>
    </row>
    <row r="60" spans="1:13">
      <c r="A60" t="s">
        <v>44</v>
      </c>
      <c r="B60">
        <v>2019</v>
      </c>
      <c r="C60" t="s">
        <v>31</v>
      </c>
      <c r="D60">
        <v>87196260</v>
      </c>
      <c r="E60">
        <v>81059814</v>
      </c>
      <c r="F60" s="2">
        <v>13.20957016488045</v>
      </c>
      <c r="G60">
        <v>1</v>
      </c>
      <c r="L60" t="s">
        <v>36</v>
      </c>
    </row>
    <row r="61" spans="1:13">
      <c r="A61" t="s">
        <v>44</v>
      </c>
      <c r="B61">
        <v>2020</v>
      </c>
      <c r="C61" t="s">
        <v>25</v>
      </c>
      <c r="D61">
        <v>6842353</v>
      </c>
      <c r="E61">
        <v>-80353907</v>
      </c>
      <c r="F61" s="2">
        <v>-0.92152928348073648</v>
      </c>
      <c r="G61">
        <v>2.2349595433622471E-2</v>
      </c>
      <c r="H61">
        <v>55902</v>
      </c>
      <c r="K61">
        <v>0</v>
      </c>
      <c r="L61" t="s">
        <v>37</v>
      </c>
      <c r="M61">
        <v>2.2349595433622471E-2</v>
      </c>
    </row>
    <row r="62" spans="1:13">
      <c r="A62" t="s">
        <v>44</v>
      </c>
      <c r="B62">
        <v>2020</v>
      </c>
      <c r="C62" t="s">
        <v>27</v>
      </c>
      <c r="D62">
        <v>5486581</v>
      </c>
      <c r="E62">
        <v>-1355772</v>
      </c>
      <c r="F62" s="2">
        <v>-0.19814411796643641</v>
      </c>
      <c r="G62">
        <v>5.8541804154110168E-3</v>
      </c>
      <c r="H62">
        <v>97658</v>
      </c>
      <c r="I62">
        <v>41756</v>
      </c>
      <c r="J62" s="2">
        <v>0.74695001967729246</v>
      </c>
      <c r="K62">
        <v>0.89493763127437953</v>
      </c>
      <c r="L62" t="s">
        <v>38</v>
      </c>
      <c r="M62">
        <v>-0.88908345085896856</v>
      </c>
    </row>
    <row r="63" spans="1:13">
      <c r="A63" t="s">
        <v>44</v>
      </c>
      <c r="B63">
        <v>2020</v>
      </c>
      <c r="C63" t="s">
        <v>29</v>
      </c>
      <c r="D63">
        <v>9126895</v>
      </c>
      <c r="E63">
        <v>3640314</v>
      </c>
      <c r="F63" s="2">
        <v>0.66349407764143087</v>
      </c>
      <c r="G63">
        <v>5.0145174938535417E-2</v>
      </c>
      <c r="H63">
        <v>102560</v>
      </c>
      <c r="I63">
        <v>4902</v>
      </c>
      <c r="J63" s="2">
        <v>5.0195580495197463E-2</v>
      </c>
      <c r="K63">
        <v>1</v>
      </c>
      <c r="L63" t="s">
        <v>39</v>
      </c>
      <c r="M63">
        <v>-0.94985482506146457</v>
      </c>
    </row>
    <row r="64" spans="1:13">
      <c r="A64" t="s">
        <v>44</v>
      </c>
      <c r="B64">
        <v>2020</v>
      </c>
      <c r="C64" t="s">
        <v>31</v>
      </c>
      <c r="D64">
        <v>6469461</v>
      </c>
      <c r="E64">
        <v>-2657434</v>
      </c>
      <c r="F64" s="2">
        <v>-0.29116517720429569</v>
      </c>
      <c r="G64">
        <v>1.781269077932153E-2</v>
      </c>
      <c r="L64" t="s">
        <v>40</v>
      </c>
    </row>
    <row r="65" spans="1:13">
      <c r="A65" t="s">
        <v>45</v>
      </c>
      <c r="B65">
        <v>2018</v>
      </c>
      <c r="C65" t="s">
        <v>25</v>
      </c>
      <c r="D65">
        <v>224749532</v>
      </c>
      <c r="E65">
        <v>0</v>
      </c>
      <c r="F65" s="2">
        <v>0</v>
      </c>
      <c r="G65">
        <v>1</v>
      </c>
      <c r="L65" t="s">
        <v>26</v>
      </c>
    </row>
    <row r="66" spans="1:13">
      <c r="A66" t="s">
        <v>45</v>
      </c>
      <c r="B66">
        <v>2018</v>
      </c>
      <c r="C66" t="s">
        <v>27</v>
      </c>
      <c r="D66">
        <v>112778852</v>
      </c>
      <c r="E66">
        <v>-111970680</v>
      </c>
      <c r="F66" s="2">
        <v>-0.49820206077225559</v>
      </c>
      <c r="G66">
        <v>0.44028032542605078</v>
      </c>
      <c r="H66">
        <v>134338</v>
      </c>
      <c r="K66">
        <v>0</v>
      </c>
      <c r="L66" t="s">
        <v>28</v>
      </c>
      <c r="M66">
        <v>0.44028032542605078</v>
      </c>
    </row>
    <row r="67" spans="1:13">
      <c r="A67" t="s">
        <v>45</v>
      </c>
      <c r="B67">
        <v>2018</v>
      </c>
      <c r="C67" t="s">
        <v>29</v>
      </c>
      <c r="D67">
        <v>81449917</v>
      </c>
      <c r="E67">
        <v>-31328935</v>
      </c>
      <c r="F67" s="2">
        <v>-0.27779086632305849</v>
      </c>
      <c r="G67">
        <v>0.28367306624937699</v>
      </c>
      <c r="H67">
        <v>171739</v>
      </c>
      <c r="I67">
        <v>37401</v>
      </c>
      <c r="J67" s="2">
        <v>0.27840968303830632</v>
      </c>
      <c r="K67">
        <v>4.7271173823086668E-2</v>
      </c>
      <c r="L67" t="s">
        <v>30</v>
      </c>
      <c r="M67">
        <v>0.23640189242629039</v>
      </c>
    </row>
    <row r="68" spans="1:13">
      <c r="A68" t="s">
        <v>45</v>
      </c>
      <c r="B68">
        <v>2018</v>
      </c>
      <c r="C68" t="s">
        <v>31</v>
      </c>
      <c r="D68">
        <v>170289261</v>
      </c>
      <c r="E68">
        <v>88839344</v>
      </c>
      <c r="F68" s="2">
        <v>1.0907235669742921</v>
      </c>
      <c r="G68">
        <v>0.72776368633887834</v>
      </c>
      <c r="H68">
        <v>200293</v>
      </c>
      <c r="I68">
        <v>28554</v>
      </c>
      <c r="J68" s="2">
        <v>0.1662639237447523</v>
      </c>
      <c r="K68">
        <v>8.33606125371429E-2</v>
      </c>
      <c r="L68" t="s">
        <v>32</v>
      </c>
      <c r="M68">
        <v>0.64440307380173545</v>
      </c>
    </row>
    <row r="69" spans="1:13">
      <c r="A69" t="s">
        <v>45</v>
      </c>
      <c r="B69">
        <v>2019</v>
      </c>
      <c r="C69" t="s">
        <v>25</v>
      </c>
      <c r="D69">
        <v>87770445</v>
      </c>
      <c r="E69">
        <v>-82518816</v>
      </c>
      <c r="F69" s="2">
        <v>-0.4845802695684962</v>
      </c>
      <c r="G69">
        <v>0.31526815770810118</v>
      </c>
      <c r="H69">
        <v>233401</v>
      </c>
      <c r="I69">
        <v>33108</v>
      </c>
      <c r="J69" s="2">
        <v>0.1652978386663537</v>
      </c>
      <c r="K69">
        <v>0.1252058579299066</v>
      </c>
      <c r="L69" t="s">
        <v>33</v>
      </c>
      <c r="M69">
        <v>0.19006229977819461</v>
      </c>
    </row>
    <row r="70" spans="1:13">
      <c r="A70" t="s">
        <v>45</v>
      </c>
      <c r="B70">
        <v>2019</v>
      </c>
      <c r="C70" t="s">
        <v>27</v>
      </c>
      <c r="D70">
        <v>148476479</v>
      </c>
      <c r="E70">
        <v>60706034</v>
      </c>
      <c r="F70" s="2">
        <v>0.69164550777884282</v>
      </c>
      <c r="G70">
        <v>0.61872582711901392</v>
      </c>
      <c r="H70">
        <v>254597</v>
      </c>
      <c r="I70">
        <v>21196</v>
      </c>
      <c r="J70" s="2">
        <v>9.0813664037429076E-2</v>
      </c>
      <c r="K70">
        <v>0.15199551062245881</v>
      </c>
      <c r="L70" t="s">
        <v>34</v>
      </c>
      <c r="M70">
        <v>0.46673031649655522</v>
      </c>
    </row>
    <row r="71" spans="1:13">
      <c r="A71" t="s">
        <v>45</v>
      </c>
      <c r="B71">
        <v>2019</v>
      </c>
      <c r="C71" t="s">
        <v>29</v>
      </c>
      <c r="D71">
        <v>95217487</v>
      </c>
      <c r="E71">
        <v>-53258992</v>
      </c>
      <c r="F71" s="2">
        <v>-0.35870322598369259</v>
      </c>
      <c r="G71">
        <v>0.35249447378279619</v>
      </c>
      <c r="H71">
        <v>281214</v>
      </c>
      <c r="I71">
        <v>26617</v>
      </c>
      <c r="J71" s="2">
        <v>0.1045456152272022</v>
      </c>
      <c r="K71">
        <v>0.18563677245099541</v>
      </c>
      <c r="L71" t="s">
        <v>35</v>
      </c>
      <c r="M71">
        <v>0.16685770133180081</v>
      </c>
    </row>
    <row r="72" spans="1:13">
      <c r="A72" t="s">
        <v>45</v>
      </c>
      <c r="B72">
        <v>2019</v>
      </c>
      <c r="C72" t="s">
        <v>31</v>
      </c>
      <c r="D72">
        <v>68360574</v>
      </c>
      <c r="E72">
        <v>-26856913</v>
      </c>
      <c r="F72" s="2">
        <v>-0.28205862017761513</v>
      </c>
      <c r="G72">
        <v>0.21824198371646039</v>
      </c>
      <c r="H72">
        <v>321191</v>
      </c>
      <c r="I72">
        <v>39977</v>
      </c>
      <c r="J72" s="2">
        <v>0.1421586407504605</v>
      </c>
      <c r="K72">
        <v>0.23616375611254281</v>
      </c>
      <c r="L72" t="s">
        <v>36</v>
      </c>
      <c r="M72">
        <v>-1.7921772396082451E-2</v>
      </c>
    </row>
    <row r="73" spans="1:13">
      <c r="A73" t="s">
        <v>45</v>
      </c>
      <c r="B73">
        <v>2020</v>
      </c>
      <c r="C73" t="s">
        <v>25</v>
      </c>
      <c r="D73">
        <v>128335812</v>
      </c>
      <c r="E73">
        <v>59975238</v>
      </c>
      <c r="F73" s="2">
        <v>0.87733666484427131</v>
      </c>
      <c r="G73">
        <v>0.51804654590948407</v>
      </c>
      <c r="H73">
        <v>649148</v>
      </c>
      <c r="I73">
        <v>327957</v>
      </c>
      <c r="J73" s="2">
        <v>1.0210653474101079</v>
      </c>
      <c r="K73">
        <v>0.65066904617157961</v>
      </c>
      <c r="L73" t="s">
        <v>37</v>
      </c>
      <c r="M73">
        <v>-0.13262250026209549</v>
      </c>
    </row>
    <row r="74" spans="1:13">
      <c r="A74" t="s">
        <v>45</v>
      </c>
      <c r="B74">
        <v>2020</v>
      </c>
      <c r="C74" t="s">
        <v>27</v>
      </c>
      <c r="D74">
        <v>24834018</v>
      </c>
      <c r="E74">
        <v>-103501794</v>
      </c>
      <c r="F74" s="2">
        <v>-0.80649190889913092</v>
      </c>
      <c r="G74">
        <v>6.6118703250013023E-4</v>
      </c>
      <c r="H74">
        <v>925539</v>
      </c>
      <c r="I74">
        <v>276391</v>
      </c>
      <c r="J74" s="2">
        <v>0.42577501586695182</v>
      </c>
      <c r="K74">
        <v>1</v>
      </c>
      <c r="L74" t="s">
        <v>38</v>
      </c>
      <c r="M74">
        <v>-0.99933881296749982</v>
      </c>
    </row>
    <row r="75" spans="1:13">
      <c r="A75" t="s">
        <v>45</v>
      </c>
      <c r="B75">
        <v>2020</v>
      </c>
      <c r="C75" t="s">
        <v>29</v>
      </c>
      <c r="D75">
        <v>24701749</v>
      </c>
      <c r="E75">
        <v>-132269</v>
      </c>
      <c r="F75" s="2">
        <v>-5.3261216127007396E-3</v>
      </c>
      <c r="G75">
        <v>0</v>
      </c>
      <c r="H75">
        <v>911470</v>
      </c>
      <c r="I75">
        <v>-14069</v>
      </c>
      <c r="J75" s="2">
        <v>-1.5200872140450071E-2</v>
      </c>
      <c r="K75">
        <v>0.98221817212061158</v>
      </c>
      <c r="L75" t="s">
        <v>39</v>
      </c>
      <c r="M75">
        <v>-0.98221817212061158</v>
      </c>
    </row>
    <row r="76" spans="1:13">
      <c r="A76" t="s">
        <v>45</v>
      </c>
      <c r="B76">
        <v>2020</v>
      </c>
      <c r="C76" t="s">
        <v>31</v>
      </c>
      <c r="D76">
        <v>40322310</v>
      </c>
      <c r="E76">
        <v>15620561</v>
      </c>
      <c r="F76" s="2">
        <v>0.63236659881856938</v>
      </c>
      <c r="G76">
        <v>7.8084149525416133E-2</v>
      </c>
      <c r="L76" t="s">
        <v>40</v>
      </c>
    </row>
    <row r="77" spans="1:13">
      <c r="A77" t="s">
        <v>46</v>
      </c>
      <c r="B77">
        <v>2018</v>
      </c>
      <c r="C77" t="s">
        <v>25</v>
      </c>
      <c r="D77">
        <v>709438</v>
      </c>
      <c r="E77">
        <v>0</v>
      </c>
      <c r="F77" s="2">
        <v>0</v>
      </c>
      <c r="G77">
        <v>7.5539383492270089E-3</v>
      </c>
      <c r="L77" t="s">
        <v>26</v>
      </c>
    </row>
    <row r="78" spans="1:13">
      <c r="A78" t="s">
        <v>46</v>
      </c>
      <c r="B78">
        <v>2018</v>
      </c>
      <c r="C78" t="s">
        <v>27</v>
      </c>
      <c r="D78">
        <v>5457208</v>
      </c>
      <c r="E78">
        <v>4747770</v>
      </c>
      <c r="F78" s="2">
        <v>6.6922972832016328</v>
      </c>
      <c r="G78">
        <v>0.26064922833115772</v>
      </c>
      <c r="H78">
        <v>25723</v>
      </c>
      <c r="K78">
        <v>0</v>
      </c>
      <c r="L78" t="s">
        <v>28</v>
      </c>
      <c r="M78">
        <v>0.26064922833115772</v>
      </c>
    </row>
    <row r="79" spans="1:13">
      <c r="A79" t="s">
        <v>46</v>
      </c>
      <c r="B79">
        <v>2018</v>
      </c>
      <c r="C79" t="s">
        <v>29</v>
      </c>
      <c r="D79">
        <v>12237756</v>
      </c>
      <c r="E79">
        <v>6780548</v>
      </c>
      <c r="F79" s="2">
        <v>1.242493963946399</v>
      </c>
      <c r="G79">
        <v>0.6221083475168806</v>
      </c>
      <c r="H79">
        <v>29996</v>
      </c>
      <c r="I79">
        <v>4273</v>
      </c>
      <c r="J79" s="2">
        <v>0.16611592738016559</v>
      </c>
      <c r="K79">
        <v>5.3152716100060962E-2</v>
      </c>
      <c r="L79" t="s">
        <v>30</v>
      </c>
      <c r="M79">
        <v>0.5689556314168196</v>
      </c>
    </row>
    <row r="80" spans="1:13">
      <c r="A80" t="s">
        <v>46</v>
      </c>
      <c r="B80">
        <v>2018</v>
      </c>
      <c r="C80" t="s">
        <v>31</v>
      </c>
      <c r="D80">
        <v>11178467</v>
      </c>
      <c r="E80">
        <v>-1059289</v>
      </c>
      <c r="F80" s="2">
        <v>-8.6559088120403804E-2</v>
      </c>
      <c r="G80">
        <v>0.56563950917179029</v>
      </c>
      <c r="H80">
        <v>31171</v>
      </c>
      <c r="I80">
        <v>1175</v>
      </c>
      <c r="J80" s="2">
        <v>3.9171889585277953E-2</v>
      </c>
      <c r="K80">
        <v>6.7768780087323205E-2</v>
      </c>
      <c r="L80" t="s">
        <v>32</v>
      </c>
      <c r="M80">
        <v>0.49787072908446711</v>
      </c>
    </row>
    <row r="81" spans="1:13">
      <c r="A81" t="s">
        <v>46</v>
      </c>
      <c r="B81">
        <v>2019</v>
      </c>
      <c r="C81" t="s">
        <v>25</v>
      </c>
      <c r="D81">
        <v>2263672</v>
      </c>
      <c r="E81">
        <v>-8914795</v>
      </c>
      <c r="F81" s="2">
        <v>-0.79749709866299201</v>
      </c>
      <c r="G81">
        <v>9.0407426393040419E-2</v>
      </c>
      <c r="H81">
        <v>30706</v>
      </c>
      <c r="I81">
        <v>-465</v>
      </c>
      <c r="J81" s="2">
        <v>-1.491771197587499E-2</v>
      </c>
      <c r="K81">
        <v>6.198455050938538E-2</v>
      </c>
      <c r="L81" t="s">
        <v>33</v>
      </c>
      <c r="M81">
        <v>2.8422875883655042E-2</v>
      </c>
    </row>
    <row r="82" spans="1:13">
      <c r="A82" t="s">
        <v>46</v>
      </c>
      <c r="B82">
        <v>2019</v>
      </c>
      <c r="C82" t="s">
        <v>27</v>
      </c>
      <c r="D82">
        <v>19326559</v>
      </c>
      <c r="E82">
        <v>17062887</v>
      </c>
      <c r="F82" s="2">
        <v>7.5377029004202019</v>
      </c>
      <c r="G82">
        <v>1</v>
      </c>
      <c r="H82">
        <v>37986</v>
      </c>
      <c r="I82">
        <v>7280</v>
      </c>
      <c r="J82" s="2">
        <v>0.23708721422523291</v>
      </c>
      <c r="K82">
        <v>0.1525419512134443</v>
      </c>
      <c r="L82" t="s">
        <v>34</v>
      </c>
      <c r="M82">
        <v>0.84745804878655573</v>
      </c>
    </row>
    <row r="83" spans="1:13">
      <c r="A83" t="s">
        <v>46</v>
      </c>
      <c r="B83">
        <v>2019</v>
      </c>
      <c r="C83" t="s">
        <v>29</v>
      </c>
      <c r="D83">
        <v>5148900</v>
      </c>
      <c r="E83">
        <v>-14177659</v>
      </c>
      <c r="F83" s="2">
        <v>-0.73358423504153014</v>
      </c>
      <c r="G83">
        <v>0.24421386969673581</v>
      </c>
      <c r="H83">
        <v>30592</v>
      </c>
      <c r="I83">
        <v>-7394</v>
      </c>
      <c r="J83" s="2">
        <v>-0.19465066076975721</v>
      </c>
      <c r="K83">
        <v>6.0566481322536107E-2</v>
      </c>
      <c r="L83" t="s">
        <v>35</v>
      </c>
      <c r="M83">
        <v>0.18364738837419969</v>
      </c>
    </row>
    <row r="84" spans="1:13">
      <c r="A84" t="s">
        <v>46</v>
      </c>
      <c r="B84">
        <v>2019</v>
      </c>
      <c r="C84" t="s">
        <v>31</v>
      </c>
      <c r="D84">
        <v>1161429</v>
      </c>
      <c r="E84">
        <v>-3987471</v>
      </c>
      <c r="F84" s="2">
        <v>-0.77443162617258055</v>
      </c>
      <c r="G84">
        <v>3.164878565948484E-2</v>
      </c>
      <c r="H84">
        <v>29970</v>
      </c>
      <c r="I84">
        <v>-622</v>
      </c>
      <c r="J84" s="2">
        <v>-2.033211297071125E-2</v>
      </c>
      <c r="K84">
        <v>5.2829296811832169E-2</v>
      </c>
      <c r="L84" t="s">
        <v>36</v>
      </c>
      <c r="M84">
        <v>-2.1180511152347328E-2</v>
      </c>
    </row>
    <row r="85" spans="1:13">
      <c r="A85" t="s">
        <v>46</v>
      </c>
      <c r="B85">
        <v>2020</v>
      </c>
      <c r="C85" t="s">
        <v>25</v>
      </c>
      <c r="D85">
        <v>782050</v>
      </c>
      <c r="E85">
        <v>-379379</v>
      </c>
      <c r="F85" s="2">
        <v>-0.3266484649513659</v>
      </c>
      <c r="G85">
        <v>1.1424756690504689E-2</v>
      </c>
      <c r="H85">
        <v>46733</v>
      </c>
      <c r="I85">
        <v>16763</v>
      </c>
      <c r="J85" s="2">
        <v>0.55932599265932592</v>
      </c>
      <c r="K85">
        <v>0.26134766329564257</v>
      </c>
      <c r="L85" t="s">
        <v>37</v>
      </c>
      <c r="M85">
        <v>-0.24992290660513791</v>
      </c>
    </row>
    <row r="86" spans="1:13">
      <c r="A86" t="s">
        <v>46</v>
      </c>
      <c r="B86">
        <v>2020</v>
      </c>
      <c r="C86" t="s">
        <v>27</v>
      </c>
      <c r="D86">
        <v>567735</v>
      </c>
      <c r="E86">
        <v>-214315</v>
      </c>
      <c r="F86" s="2">
        <v>-0.27404258039767282</v>
      </c>
      <c r="G86">
        <v>0</v>
      </c>
      <c r="H86">
        <v>86153</v>
      </c>
      <c r="I86">
        <v>39420</v>
      </c>
      <c r="J86" s="2">
        <v>0.84351528898208983</v>
      </c>
      <c r="K86">
        <v>0.75170106106404944</v>
      </c>
      <c r="L86" t="s">
        <v>38</v>
      </c>
      <c r="M86">
        <v>-0.75170106106404944</v>
      </c>
    </row>
    <row r="87" spans="1:13">
      <c r="A87" t="s">
        <v>46</v>
      </c>
      <c r="B87">
        <v>2020</v>
      </c>
      <c r="C87" t="s">
        <v>29</v>
      </c>
      <c r="D87">
        <v>678637</v>
      </c>
      <c r="E87">
        <v>110902</v>
      </c>
      <c r="F87" s="2">
        <v>0.19534113626956229</v>
      </c>
      <c r="G87">
        <v>5.9119910715085336E-3</v>
      </c>
      <c r="H87">
        <v>106114</v>
      </c>
      <c r="I87">
        <v>19961</v>
      </c>
      <c r="J87" s="2">
        <v>0.23169245412231729</v>
      </c>
      <c r="K87">
        <v>1</v>
      </c>
      <c r="L87" t="s">
        <v>39</v>
      </c>
      <c r="M87">
        <v>-0.99408800892849147</v>
      </c>
    </row>
    <row r="88" spans="1:13">
      <c r="A88" t="s">
        <v>46</v>
      </c>
      <c r="B88">
        <v>2020</v>
      </c>
      <c r="C88" t="s">
        <v>31</v>
      </c>
      <c r="D88">
        <v>7293308</v>
      </c>
      <c r="E88">
        <v>6614671</v>
      </c>
      <c r="F88" s="2">
        <v>9.746994343072954</v>
      </c>
      <c r="G88">
        <v>0.35852849837495138</v>
      </c>
      <c r="L88" t="s">
        <v>40</v>
      </c>
    </row>
    <row r="89" spans="1:13">
      <c r="A89" t="s">
        <v>47</v>
      </c>
      <c r="B89">
        <v>2018</v>
      </c>
      <c r="C89" t="s">
        <v>25</v>
      </c>
      <c r="D89">
        <v>6373202</v>
      </c>
      <c r="E89">
        <v>0</v>
      </c>
      <c r="F89" s="2">
        <v>0</v>
      </c>
      <c r="G89">
        <v>0.37646840598774722</v>
      </c>
      <c r="L89" t="s">
        <v>26</v>
      </c>
    </row>
    <row r="90" spans="1:13">
      <c r="A90" t="s">
        <v>47</v>
      </c>
      <c r="B90">
        <v>2018</v>
      </c>
      <c r="C90" t="s">
        <v>27</v>
      </c>
      <c r="D90">
        <v>3373620</v>
      </c>
      <c r="E90">
        <v>-2999582</v>
      </c>
      <c r="F90" s="2">
        <v>-0.47065540994934729</v>
      </c>
      <c r="G90">
        <v>0.14337431750253679</v>
      </c>
      <c r="H90">
        <v>14246</v>
      </c>
      <c r="K90">
        <v>9.2093375688514553E-3</v>
      </c>
      <c r="L90" t="s">
        <v>28</v>
      </c>
      <c r="M90">
        <v>0.1341649799336854</v>
      </c>
    </row>
    <row r="91" spans="1:13">
      <c r="A91" t="s">
        <v>47</v>
      </c>
      <c r="B91">
        <v>2018</v>
      </c>
      <c r="C91" t="s">
        <v>29</v>
      </c>
      <c r="D91">
        <v>2355233</v>
      </c>
      <c r="E91">
        <v>-1018387</v>
      </c>
      <c r="F91" s="2">
        <v>-0.30186772665563999</v>
      </c>
      <c r="G91">
        <v>6.4236627821045209E-2</v>
      </c>
      <c r="H91">
        <v>13614</v>
      </c>
      <c r="I91">
        <v>-632</v>
      </c>
      <c r="J91" s="2">
        <v>-4.4363330057559991E-2</v>
      </c>
      <c r="K91">
        <v>0</v>
      </c>
      <c r="L91" t="s">
        <v>30</v>
      </c>
      <c r="M91">
        <v>6.4236627821045209E-2</v>
      </c>
    </row>
    <row r="92" spans="1:13">
      <c r="A92" t="s">
        <v>47</v>
      </c>
      <c r="B92">
        <v>2018</v>
      </c>
      <c r="C92" t="s">
        <v>31</v>
      </c>
      <c r="D92">
        <v>3354758</v>
      </c>
      <c r="E92">
        <v>999525</v>
      </c>
      <c r="F92" s="2">
        <v>0.42438476363060462</v>
      </c>
      <c r="G92">
        <v>0.14190857304313939</v>
      </c>
      <c r="H92">
        <v>14149</v>
      </c>
      <c r="I92">
        <v>535</v>
      </c>
      <c r="J92" s="2">
        <v>3.9297781695313727E-2</v>
      </c>
      <c r="K92">
        <v>7.7958791128726716E-3</v>
      </c>
      <c r="L92" t="s">
        <v>32</v>
      </c>
      <c r="M92">
        <v>0.13411269393026681</v>
      </c>
    </row>
    <row r="93" spans="1:13">
      <c r="A93" t="s">
        <v>47</v>
      </c>
      <c r="B93">
        <v>2019</v>
      </c>
      <c r="C93" t="s">
        <v>25</v>
      </c>
      <c r="D93">
        <v>2434547</v>
      </c>
      <c r="E93">
        <v>-920211</v>
      </c>
      <c r="F93" s="2">
        <v>-0.27430026249285339</v>
      </c>
      <c r="G93">
        <v>7.0400028099522671E-2</v>
      </c>
      <c r="H93">
        <v>15018</v>
      </c>
      <c r="I93">
        <v>869</v>
      </c>
      <c r="J93" s="2">
        <v>6.1417768040144198E-2</v>
      </c>
      <c r="K93">
        <v>2.0458718270043419E-2</v>
      </c>
      <c r="L93" t="s">
        <v>33</v>
      </c>
      <c r="M93">
        <v>4.9941309829479252E-2</v>
      </c>
    </row>
    <row r="94" spans="1:13">
      <c r="A94" t="s">
        <v>47</v>
      </c>
      <c r="B94">
        <v>2019</v>
      </c>
      <c r="C94" t="s">
        <v>27</v>
      </c>
      <c r="D94">
        <v>2098552</v>
      </c>
      <c r="E94">
        <v>-335995</v>
      </c>
      <c r="F94" s="2">
        <v>-0.13801130148647781</v>
      </c>
      <c r="G94">
        <v>4.4290240715617747E-2</v>
      </c>
      <c r="H94">
        <v>15183</v>
      </c>
      <c r="I94">
        <v>165</v>
      </c>
      <c r="J94" s="2">
        <v>1.098681582101468E-2</v>
      </c>
      <c r="K94">
        <v>2.286305481887331E-2</v>
      </c>
      <c r="L94" t="s">
        <v>34</v>
      </c>
      <c r="M94">
        <v>2.142718589674444E-2</v>
      </c>
    </row>
    <row r="95" spans="1:13">
      <c r="A95" t="s">
        <v>47</v>
      </c>
      <c r="B95">
        <v>2019</v>
      </c>
      <c r="C95" t="s">
        <v>29</v>
      </c>
      <c r="D95">
        <v>1768230</v>
      </c>
      <c r="E95">
        <v>-330322</v>
      </c>
      <c r="F95" s="2">
        <v>-0.15740472478165901</v>
      </c>
      <c r="G95">
        <v>1.8621295677071829E-2</v>
      </c>
      <c r="H95">
        <v>18866</v>
      </c>
      <c r="I95">
        <v>3683</v>
      </c>
      <c r="J95" s="2">
        <v>0.24257393137061189</v>
      </c>
      <c r="K95">
        <v>7.6530760936088363E-2</v>
      </c>
      <c r="L95" t="s">
        <v>35</v>
      </c>
      <c r="M95">
        <v>-5.7909465259016531E-2</v>
      </c>
    </row>
    <row r="96" spans="1:13">
      <c r="A96" t="s">
        <v>47</v>
      </c>
      <c r="B96">
        <v>2019</v>
      </c>
      <c r="C96" t="s">
        <v>31</v>
      </c>
      <c r="D96">
        <v>1528601</v>
      </c>
      <c r="E96">
        <v>-239629</v>
      </c>
      <c r="F96" s="2">
        <v>-0.13551913495416321</v>
      </c>
      <c r="G96">
        <v>0</v>
      </c>
      <c r="H96">
        <v>19254</v>
      </c>
      <c r="I96">
        <v>388</v>
      </c>
      <c r="J96" s="2">
        <v>2.056609774196971E-2</v>
      </c>
      <c r="K96">
        <v>8.218459476000349E-2</v>
      </c>
      <c r="L96" t="s">
        <v>36</v>
      </c>
      <c r="M96">
        <v>-8.218459476000349E-2</v>
      </c>
    </row>
    <row r="97" spans="1:13">
      <c r="A97" t="s">
        <v>47</v>
      </c>
      <c r="B97">
        <v>2020</v>
      </c>
      <c r="C97" t="s">
        <v>25</v>
      </c>
      <c r="D97">
        <v>14136788</v>
      </c>
      <c r="E97">
        <v>12608187</v>
      </c>
      <c r="F97" s="2">
        <v>8.2481870677828937</v>
      </c>
      <c r="G97">
        <v>0.97976779971878714</v>
      </c>
      <c r="H97">
        <v>45517</v>
      </c>
      <c r="I97">
        <v>26263</v>
      </c>
      <c r="J97" s="2">
        <v>1.364028253869326</v>
      </c>
      <c r="K97">
        <v>0.46488211465042412</v>
      </c>
      <c r="L97" t="s">
        <v>37</v>
      </c>
      <c r="M97">
        <v>0.51488568506836307</v>
      </c>
    </row>
    <row r="98" spans="1:13">
      <c r="A98" t="s">
        <v>47</v>
      </c>
      <c r="B98">
        <v>2020</v>
      </c>
      <c r="C98" t="s">
        <v>27</v>
      </c>
      <c r="D98">
        <v>12021331</v>
      </c>
      <c r="E98">
        <v>-2115457</v>
      </c>
      <c r="F98" s="2">
        <v>-0.14964198373774859</v>
      </c>
      <c r="G98">
        <v>0.81537805436604882</v>
      </c>
      <c r="H98">
        <v>65657</v>
      </c>
      <c r="I98">
        <v>20140</v>
      </c>
      <c r="J98" s="2">
        <v>0.44247204341235152</v>
      </c>
      <c r="K98">
        <v>0.75835689097426628</v>
      </c>
      <c r="L98" t="s">
        <v>38</v>
      </c>
      <c r="M98">
        <v>5.7021163391782537E-2</v>
      </c>
    </row>
    <row r="99" spans="1:13">
      <c r="A99" t="s">
        <v>47</v>
      </c>
      <c r="B99">
        <v>2020</v>
      </c>
      <c r="C99" t="s">
        <v>29</v>
      </c>
      <c r="D99">
        <v>14397147</v>
      </c>
      <c r="E99">
        <v>2375816</v>
      </c>
      <c r="F99" s="2">
        <v>0.19763335690532099</v>
      </c>
      <c r="G99">
        <v>1</v>
      </c>
      <c r="H99">
        <v>82240</v>
      </c>
      <c r="I99">
        <v>16583</v>
      </c>
      <c r="J99" s="2">
        <v>0.25257017530499398</v>
      </c>
      <c r="K99">
        <v>1</v>
      </c>
      <c r="L99" t="s">
        <v>39</v>
      </c>
      <c r="M99">
        <v>0</v>
      </c>
    </row>
    <row r="100" spans="1:13">
      <c r="A100" t="s">
        <v>47</v>
      </c>
      <c r="B100">
        <v>2020</v>
      </c>
      <c r="C100" t="s">
        <v>31</v>
      </c>
      <c r="D100">
        <v>11849570</v>
      </c>
      <c r="E100">
        <v>-2547577</v>
      </c>
      <c r="F100" s="2">
        <v>-0.17695012768849269</v>
      </c>
      <c r="G100">
        <v>0.80203070339104354</v>
      </c>
      <c r="L100" t="s">
        <v>40</v>
      </c>
    </row>
    <row r="101" spans="1:13">
      <c r="A101" t="s">
        <v>48</v>
      </c>
      <c r="B101">
        <v>2018</v>
      </c>
      <c r="C101" t="s">
        <v>25</v>
      </c>
      <c r="D101">
        <v>6761089</v>
      </c>
      <c r="E101">
        <v>0</v>
      </c>
      <c r="F101" s="2">
        <v>0</v>
      </c>
      <c r="G101">
        <v>1</v>
      </c>
      <c r="L101" t="s">
        <v>26</v>
      </c>
    </row>
    <row r="102" spans="1:13">
      <c r="A102" t="s">
        <v>48</v>
      </c>
      <c r="B102">
        <v>2018</v>
      </c>
      <c r="C102" t="s">
        <v>27</v>
      </c>
      <c r="D102">
        <v>3908119</v>
      </c>
      <c r="E102">
        <v>-2852970</v>
      </c>
      <c r="F102" s="2">
        <v>-0.42196900528894088</v>
      </c>
      <c r="G102">
        <v>0.27240718694817889</v>
      </c>
      <c r="H102">
        <v>15133</v>
      </c>
      <c r="K102">
        <v>9.9114183860862046E-3</v>
      </c>
      <c r="L102" t="s">
        <v>28</v>
      </c>
      <c r="M102">
        <v>0.26249576856209272</v>
      </c>
    </row>
    <row r="103" spans="1:13">
      <c r="A103" t="s">
        <v>48</v>
      </c>
      <c r="B103">
        <v>2018</v>
      </c>
      <c r="C103" t="s">
        <v>29</v>
      </c>
      <c r="D103">
        <v>3200379</v>
      </c>
      <c r="E103">
        <v>-707740</v>
      </c>
      <c r="F103" s="2">
        <v>-0.18109479266112419</v>
      </c>
      <c r="G103">
        <v>9.1912286017115569E-2</v>
      </c>
      <c r="H103">
        <v>14399</v>
      </c>
      <c r="I103">
        <v>-734</v>
      </c>
      <c r="J103" s="2">
        <v>-4.8503270997158572E-2</v>
      </c>
      <c r="K103">
        <v>0</v>
      </c>
      <c r="L103" t="s">
        <v>30</v>
      </c>
      <c r="M103">
        <v>9.1912286017115569E-2</v>
      </c>
    </row>
    <row r="104" spans="1:13">
      <c r="A104" t="s">
        <v>48</v>
      </c>
      <c r="B104">
        <v>2018</v>
      </c>
      <c r="C104" t="s">
        <v>31</v>
      </c>
      <c r="D104">
        <v>3660273</v>
      </c>
      <c r="E104">
        <v>459894</v>
      </c>
      <c r="F104" s="2">
        <v>0.1436998555483584</v>
      </c>
      <c r="G104">
        <v>0.20919903251835961</v>
      </c>
      <c r="H104">
        <v>16372</v>
      </c>
      <c r="I104">
        <v>1973</v>
      </c>
      <c r="J104" s="2">
        <v>0.13702340440308361</v>
      </c>
      <c r="K104">
        <v>2.6642000648158151E-2</v>
      </c>
      <c r="L104" t="s">
        <v>32</v>
      </c>
      <c r="M104">
        <v>0.18255703187020139</v>
      </c>
    </row>
    <row r="105" spans="1:13">
      <c r="A105" t="s">
        <v>48</v>
      </c>
      <c r="B105">
        <v>2019</v>
      </c>
      <c r="C105" t="s">
        <v>25</v>
      </c>
      <c r="D105">
        <v>2839981</v>
      </c>
      <c r="E105">
        <v>-820292</v>
      </c>
      <c r="F105" s="2">
        <v>-0.22410678110621809</v>
      </c>
      <c r="G105">
        <v>0</v>
      </c>
      <c r="H105">
        <v>17820</v>
      </c>
      <c r="I105">
        <v>1448</v>
      </c>
      <c r="J105" s="2">
        <v>8.8443684339115647E-2</v>
      </c>
      <c r="K105">
        <v>4.6194771524251922E-2</v>
      </c>
      <c r="L105" t="s">
        <v>33</v>
      </c>
      <c r="M105">
        <v>-4.6194771524251922E-2</v>
      </c>
    </row>
    <row r="106" spans="1:13">
      <c r="A106" t="s">
        <v>48</v>
      </c>
      <c r="B106">
        <v>2019</v>
      </c>
      <c r="C106" t="s">
        <v>27</v>
      </c>
      <c r="D106">
        <v>2930361</v>
      </c>
      <c r="E106">
        <v>90380</v>
      </c>
      <c r="F106" s="2">
        <v>3.1824156570061657E-2</v>
      </c>
      <c r="G106">
        <v>2.3049607406886011E-2</v>
      </c>
      <c r="H106">
        <v>17399</v>
      </c>
      <c r="I106">
        <v>-421</v>
      </c>
      <c r="J106" s="2">
        <v>-2.362514029180696E-2</v>
      </c>
      <c r="K106">
        <v>4.0509884411796482E-2</v>
      </c>
      <c r="L106" t="s">
        <v>34</v>
      </c>
      <c r="M106">
        <v>-1.7460277004910471E-2</v>
      </c>
    </row>
    <row r="107" spans="1:13">
      <c r="A107" t="s">
        <v>48</v>
      </c>
      <c r="B107">
        <v>2019</v>
      </c>
      <c r="C107" t="s">
        <v>29</v>
      </c>
      <c r="D107">
        <v>2926753</v>
      </c>
      <c r="E107">
        <v>-3608</v>
      </c>
      <c r="F107" s="2">
        <v>-1.2312476176143949E-3</v>
      </c>
      <c r="G107">
        <v>2.2129459326292469E-2</v>
      </c>
      <c r="H107">
        <v>16898</v>
      </c>
      <c r="I107">
        <v>-501</v>
      </c>
      <c r="J107" s="2">
        <v>-2.879475831944367E-2</v>
      </c>
      <c r="K107">
        <v>3.3744733715026468E-2</v>
      </c>
      <c r="L107" t="s">
        <v>35</v>
      </c>
      <c r="M107">
        <v>-1.1615274388734E-2</v>
      </c>
    </row>
    <row r="108" spans="1:13">
      <c r="A108" t="s">
        <v>48</v>
      </c>
      <c r="B108">
        <v>2019</v>
      </c>
      <c r="C108" t="s">
        <v>31</v>
      </c>
      <c r="D108">
        <v>2986935</v>
      </c>
      <c r="E108">
        <v>60182</v>
      </c>
      <c r="F108" s="2">
        <v>2.0562719163523591E-2</v>
      </c>
      <c r="G108">
        <v>3.7477672127368078E-2</v>
      </c>
      <c r="H108">
        <v>18082</v>
      </c>
      <c r="I108">
        <v>1184</v>
      </c>
      <c r="J108" s="2">
        <v>7.0067463605160363E-2</v>
      </c>
      <c r="K108">
        <v>4.9732634762882137E-2</v>
      </c>
      <c r="L108" t="s">
        <v>36</v>
      </c>
      <c r="M108">
        <v>-1.225496263551407E-2</v>
      </c>
    </row>
    <row r="109" spans="1:13">
      <c r="A109" t="s">
        <v>48</v>
      </c>
      <c r="B109">
        <v>2020</v>
      </c>
      <c r="C109" t="s">
        <v>25</v>
      </c>
      <c r="D109">
        <v>6455100</v>
      </c>
      <c r="E109">
        <v>3468165</v>
      </c>
      <c r="F109" s="2">
        <v>1.1611116411974149</v>
      </c>
      <c r="G109">
        <v>0.92196363884901922</v>
      </c>
      <c r="H109">
        <v>42243</v>
      </c>
      <c r="I109">
        <v>24161</v>
      </c>
      <c r="J109" s="2">
        <v>1.336190686870921</v>
      </c>
      <c r="K109">
        <v>0.37598574052068712</v>
      </c>
      <c r="L109" t="s">
        <v>37</v>
      </c>
      <c r="M109">
        <v>0.5459778983283321</v>
      </c>
    </row>
    <row r="110" spans="1:13">
      <c r="A110" t="s">
        <v>48</v>
      </c>
      <c r="B110">
        <v>2020</v>
      </c>
      <c r="C110" t="s">
        <v>27</v>
      </c>
      <c r="D110">
        <v>4055086</v>
      </c>
      <c r="E110">
        <v>-2400014</v>
      </c>
      <c r="F110" s="2">
        <v>-0.37180121144521378</v>
      </c>
      <c r="G110">
        <v>0.30988817446497258</v>
      </c>
      <c r="H110">
        <v>85691</v>
      </c>
      <c r="I110">
        <v>43448</v>
      </c>
      <c r="J110" s="2">
        <v>1.0285254361669389</v>
      </c>
      <c r="K110">
        <v>0.9626768931619315</v>
      </c>
      <c r="L110" t="s">
        <v>38</v>
      </c>
      <c r="M110">
        <v>-0.65278871869695887</v>
      </c>
    </row>
    <row r="111" spans="1:13">
      <c r="A111" t="s">
        <v>48</v>
      </c>
      <c r="B111">
        <v>2020</v>
      </c>
      <c r="C111" t="s">
        <v>29</v>
      </c>
      <c r="D111">
        <v>5412972</v>
      </c>
      <c r="E111">
        <v>1357886</v>
      </c>
      <c r="F111" s="2">
        <v>0.33485997584268251</v>
      </c>
      <c r="G111">
        <v>0.65618978105168235</v>
      </c>
      <c r="H111">
        <v>88455</v>
      </c>
      <c r="I111">
        <v>2764</v>
      </c>
      <c r="J111" s="2">
        <v>3.2255429391651491E-2</v>
      </c>
      <c r="K111">
        <v>1</v>
      </c>
      <c r="L111" t="s">
        <v>39</v>
      </c>
      <c r="M111">
        <v>-0.34381021894831759</v>
      </c>
    </row>
    <row r="112" spans="1:13">
      <c r="A112" t="s">
        <v>48</v>
      </c>
      <c r="B112">
        <v>2020</v>
      </c>
      <c r="C112" t="s">
        <v>31</v>
      </c>
      <c r="D112">
        <v>3702124</v>
      </c>
      <c r="E112">
        <v>-1710848</v>
      </c>
      <c r="F112" s="2">
        <v>-0.31606444666626771</v>
      </c>
      <c r="G112">
        <v>0.2198722911993243</v>
      </c>
      <c r="L112" t="s">
        <v>40</v>
      </c>
    </row>
    <row r="113" spans="1:13">
      <c r="A113" t="s">
        <v>49</v>
      </c>
      <c r="B113">
        <v>2018</v>
      </c>
      <c r="C113" t="s">
        <v>31</v>
      </c>
      <c r="F113" s="2"/>
      <c r="H113">
        <v>864</v>
      </c>
      <c r="K113">
        <v>0</v>
      </c>
      <c r="L113" t="s">
        <v>32</v>
      </c>
    </row>
    <row r="114" spans="1:13">
      <c r="A114" t="s">
        <v>49</v>
      </c>
      <c r="B114">
        <v>2019</v>
      </c>
      <c r="C114" t="s">
        <v>25</v>
      </c>
      <c r="F114" s="2"/>
      <c r="H114">
        <v>2876</v>
      </c>
      <c r="I114">
        <v>2012</v>
      </c>
      <c r="J114" s="2">
        <v>2.3287037037037042</v>
      </c>
      <c r="K114">
        <v>5.9421672371580371E-3</v>
      </c>
      <c r="L114" t="s">
        <v>33</v>
      </c>
    </row>
    <row r="115" spans="1:13">
      <c r="A115" t="s">
        <v>49</v>
      </c>
      <c r="B115">
        <v>2019</v>
      </c>
      <c r="C115" t="s">
        <v>27</v>
      </c>
      <c r="F115" s="2"/>
      <c r="H115">
        <v>5291</v>
      </c>
      <c r="I115">
        <v>2415</v>
      </c>
      <c r="J115" s="2">
        <v>0.8397079276773296</v>
      </c>
      <c r="K115">
        <v>1.307453993981045E-2</v>
      </c>
      <c r="L115" t="s">
        <v>34</v>
      </c>
    </row>
    <row r="116" spans="1:13">
      <c r="A116" t="s">
        <v>49</v>
      </c>
      <c r="B116">
        <v>2019</v>
      </c>
      <c r="C116" t="s">
        <v>29</v>
      </c>
      <c r="F116" s="2"/>
      <c r="H116">
        <v>5659</v>
      </c>
      <c r="I116">
        <v>368</v>
      </c>
      <c r="J116" s="2">
        <v>6.9552069552069495E-2</v>
      </c>
      <c r="K116">
        <v>1.416137768497653E-2</v>
      </c>
      <c r="L116" t="s">
        <v>35</v>
      </c>
    </row>
    <row r="117" spans="1:13">
      <c r="A117" t="s">
        <v>49</v>
      </c>
      <c r="B117">
        <v>2019</v>
      </c>
      <c r="C117" t="s">
        <v>31</v>
      </c>
      <c r="D117">
        <v>6279</v>
      </c>
      <c r="E117">
        <v>0</v>
      </c>
      <c r="F117" s="2">
        <v>0</v>
      </c>
      <c r="G117">
        <v>0</v>
      </c>
      <c r="H117">
        <v>5587</v>
      </c>
      <c r="I117">
        <v>-72</v>
      </c>
      <c r="J117" s="2">
        <v>-1.272309595334864E-2</v>
      </c>
      <c r="K117">
        <v>1.3948735517444039E-2</v>
      </c>
      <c r="L117" t="s">
        <v>36</v>
      </c>
      <c r="M117">
        <v>-1.3948735517444039E-2</v>
      </c>
    </row>
    <row r="118" spans="1:13">
      <c r="A118" t="s">
        <v>49</v>
      </c>
      <c r="B118">
        <v>2020</v>
      </c>
      <c r="C118" t="s">
        <v>25</v>
      </c>
      <c r="D118">
        <v>6777</v>
      </c>
      <c r="E118">
        <v>498</v>
      </c>
      <c r="F118" s="2">
        <v>7.9311992355470595E-2</v>
      </c>
      <c r="G118">
        <v>1.4976903089211819E-3</v>
      </c>
      <c r="H118">
        <v>99401</v>
      </c>
      <c r="I118">
        <v>93814</v>
      </c>
      <c r="J118" s="2">
        <v>16.7914802219438</v>
      </c>
      <c r="K118">
        <v>0.29101557308540832</v>
      </c>
      <c r="L118" t="s">
        <v>37</v>
      </c>
      <c r="M118">
        <v>-0.28951788277648721</v>
      </c>
    </row>
    <row r="119" spans="1:13">
      <c r="A119" t="s">
        <v>49</v>
      </c>
      <c r="B119">
        <v>2020</v>
      </c>
      <c r="C119" t="s">
        <v>27</v>
      </c>
      <c r="D119">
        <v>7103</v>
      </c>
      <c r="E119">
        <v>326</v>
      </c>
      <c r="F119" s="2">
        <v>4.8103880773203489E-2</v>
      </c>
      <c r="G119">
        <v>2.4781060533153689E-3</v>
      </c>
      <c r="H119">
        <v>209101</v>
      </c>
      <c r="I119">
        <v>109700</v>
      </c>
      <c r="J119" s="2">
        <v>1.1036106276596811</v>
      </c>
      <c r="K119">
        <v>0.61499954222866715</v>
      </c>
      <c r="L119" t="s">
        <v>38</v>
      </c>
      <c r="M119">
        <v>-0.61252143617535182</v>
      </c>
    </row>
    <row r="120" spans="1:13">
      <c r="A120" t="s">
        <v>49</v>
      </c>
      <c r="B120">
        <v>2020</v>
      </c>
      <c r="C120" t="s">
        <v>29</v>
      </c>
      <c r="D120">
        <v>155032</v>
      </c>
      <c r="E120">
        <v>147929</v>
      </c>
      <c r="F120" s="2">
        <v>20.8262705898916</v>
      </c>
      <c r="G120">
        <v>0.44736129823886062</v>
      </c>
      <c r="H120">
        <v>339461</v>
      </c>
      <c r="I120">
        <v>130360</v>
      </c>
      <c r="J120" s="2">
        <v>0.62343078225355208</v>
      </c>
      <c r="K120">
        <v>1</v>
      </c>
      <c r="L120" t="s">
        <v>39</v>
      </c>
      <c r="M120">
        <v>-0.55263870176113938</v>
      </c>
    </row>
    <row r="121" spans="1:13">
      <c r="A121" t="s">
        <v>49</v>
      </c>
      <c r="B121">
        <v>2020</v>
      </c>
      <c r="C121" t="s">
        <v>31</v>
      </c>
      <c r="D121">
        <v>338791</v>
      </c>
      <c r="E121">
        <v>183759</v>
      </c>
      <c r="F121" s="2">
        <v>1.185297228959183</v>
      </c>
      <c r="G121">
        <v>1</v>
      </c>
      <c r="L121" t="s">
        <v>40</v>
      </c>
    </row>
    <row r="122" spans="1:13">
      <c r="A122" t="s">
        <v>50</v>
      </c>
      <c r="B122">
        <v>2018</v>
      </c>
      <c r="C122" t="s">
        <v>25</v>
      </c>
      <c r="D122">
        <v>2767239611</v>
      </c>
      <c r="E122">
        <v>0</v>
      </c>
      <c r="F122" s="2">
        <v>0</v>
      </c>
      <c r="G122">
        <v>0.1304887651968149</v>
      </c>
      <c r="L122" t="s">
        <v>26</v>
      </c>
    </row>
    <row r="123" spans="1:13">
      <c r="A123" t="s">
        <v>50</v>
      </c>
      <c r="B123">
        <v>2018</v>
      </c>
      <c r="C123" t="s">
        <v>27</v>
      </c>
      <c r="D123">
        <v>1709668859</v>
      </c>
      <c r="E123">
        <v>-1057570752</v>
      </c>
      <c r="F123" s="2">
        <v>-0.38217534462721298</v>
      </c>
      <c r="G123">
        <v>0</v>
      </c>
      <c r="H123">
        <v>126912</v>
      </c>
      <c r="K123">
        <v>0</v>
      </c>
      <c r="L123" t="s">
        <v>28</v>
      </c>
      <c r="M123">
        <v>0</v>
      </c>
    </row>
    <row r="124" spans="1:13">
      <c r="A124" t="s">
        <v>50</v>
      </c>
      <c r="B124">
        <v>2018</v>
      </c>
      <c r="C124" t="s">
        <v>29</v>
      </c>
      <c r="D124">
        <v>2348953807</v>
      </c>
      <c r="E124">
        <v>639284948</v>
      </c>
      <c r="F124" s="2">
        <v>0.37392325691299272</v>
      </c>
      <c r="G124">
        <v>7.8878413870346942E-2</v>
      </c>
      <c r="H124">
        <v>151912</v>
      </c>
      <c r="I124">
        <v>25000</v>
      </c>
      <c r="J124" s="2">
        <v>0.196986888552698</v>
      </c>
      <c r="K124">
        <v>4.7444992275955257E-2</v>
      </c>
      <c r="L124" t="s">
        <v>30</v>
      </c>
      <c r="M124">
        <v>3.1433421594391678E-2</v>
      </c>
    </row>
    <row r="125" spans="1:13">
      <c r="A125" t="s">
        <v>50</v>
      </c>
      <c r="B125">
        <v>2018</v>
      </c>
      <c r="C125" t="s">
        <v>31</v>
      </c>
      <c r="D125">
        <v>3576413915</v>
      </c>
      <c r="E125">
        <v>1227460108</v>
      </c>
      <c r="F125" s="2">
        <v>0.5225560861784968</v>
      </c>
      <c r="G125">
        <v>0.2303290411861722</v>
      </c>
      <c r="H125">
        <v>167778</v>
      </c>
      <c r="I125">
        <v>15866</v>
      </c>
      <c r="J125" s="2">
        <v>0.1044420453947021</v>
      </c>
      <c r="K125">
        <v>7.7555482173967502E-2</v>
      </c>
      <c r="L125" t="s">
        <v>32</v>
      </c>
      <c r="M125">
        <v>0.15277355901220471</v>
      </c>
    </row>
    <row r="126" spans="1:13">
      <c r="A126" t="s">
        <v>50</v>
      </c>
      <c r="B126">
        <v>2019</v>
      </c>
      <c r="C126" t="s">
        <v>25</v>
      </c>
      <c r="D126">
        <v>2544581332</v>
      </c>
      <c r="E126">
        <v>-1031832583</v>
      </c>
      <c r="F126" s="2">
        <v>-0.28851039267919859</v>
      </c>
      <c r="G126">
        <v>0.1030159896566325</v>
      </c>
      <c r="H126">
        <v>176620</v>
      </c>
      <c r="I126">
        <v>8842</v>
      </c>
      <c r="J126" s="2">
        <v>5.2700592449546502E-2</v>
      </c>
      <c r="K126">
        <v>9.4335827042127354E-2</v>
      </c>
      <c r="L126" t="s">
        <v>33</v>
      </c>
      <c r="M126">
        <v>8.6801626145051741E-3</v>
      </c>
    </row>
    <row r="127" spans="1:13">
      <c r="A127" t="s">
        <v>50</v>
      </c>
      <c r="B127">
        <v>2019</v>
      </c>
      <c r="C127" t="s">
        <v>27</v>
      </c>
      <c r="D127">
        <v>2786511491</v>
      </c>
      <c r="E127">
        <v>241930159</v>
      </c>
      <c r="F127" s="2">
        <v>9.5076606889136661E-2</v>
      </c>
      <c r="G127">
        <v>0.1328666333625764</v>
      </c>
      <c r="H127">
        <v>199910</v>
      </c>
      <c r="I127">
        <v>23290</v>
      </c>
      <c r="J127" s="2">
        <v>0.1318650209489298</v>
      </c>
      <c r="K127">
        <v>0.1385355818464073</v>
      </c>
      <c r="L127" t="s">
        <v>34</v>
      </c>
      <c r="M127">
        <v>-5.668948483830899E-3</v>
      </c>
    </row>
    <row r="128" spans="1:13">
      <c r="A128" t="s">
        <v>50</v>
      </c>
      <c r="B128">
        <v>2019</v>
      </c>
      <c r="C128" t="s">
        <v>29</v>
      </c>
      <c r="D128">
        <v>2858679965</v>
      </c>
      <c r="E128">
        <v>72168474</v>
      </c>
      <c r="F128" s="2">
        <v>2.5899219950498379E-2</v>
      </c>
      <c r="G128">
        <v>0.14177116768388709</v>
      </c>
      <c r="H128">
        <v>220575</v>
      </c>
      <c r="I128">
        <v>20665</v>
      </c>
      <c r="J128" s="2">
        <v>0.1033715171827323</v>
      </c>
      <c r="K128">
        <v>0.1777536124617119</v>
      </c>
      <c r="L128" t="s">
        <v>35</v>
      </c>
      <c r="M128">
        <v>-3.5982444777824751E-2</v>
      </c>
    </row>
    <row r="129" spans="1:13">
      <c r="A129" t="s">
        <v>50</v>
      </c>
      <c r="B129">
        <v>2019</v>
      </c>
      <c r="C129" t="s">
        <v>31</v>
      </c>
      <c r="D129">
        <v>2795580751</v>
      </c>
      <c r="E129">
        <v>-63099214</v>
      </c>
      <c r="F129" s="2">
        <v>-2.207284997710468E-2</v>
      </c>
      <c r="G129">
        <v>0.1339856474204168</v>
      </c>
      <c r="H129">
        <v>245405</v>
      </c>
      <c r="I129">
        <v>24830</v>
      </c>
      <c r="J129" s="2">
        <v>0.11256942083191659</v>
      </c>
      <c r="K129">
        <v>0.22487597879019061</v>
      </c>
      <c r="L129" t="s">
        <v>36</v>
      </c>
      <c r="M129">
        <v>-9.0890331369773841E-2</v>
      </c>
    </row>
    <row r="130" spans="1:13">
      <c r="A130" t="s">
        <v>50</v>
      </c>
      <c r="B130">
        <v>2020</v>
      </c>
      <c r="C130" t="s">
        <v>25</v>
      </c>
      <c r="D130">
        <v>9814357032</v>
      </c>
      <c r="E130">
        <v>7018776281</v>
      </c>
      <c r="F130" s="2">
        <v>2.5106684106654158</v>
      </c>
      <c r="G130">
        <v>1</v>
      </c>
      <c r="H130">
        <v>389770</v>
      </c>
      <c r="I130">
        <v>144365</v>
      </c>
      <c r="J130" s="2">
        <v>0.58827244758664254</v>
      </c>
      <c r="K130">
        <v>0.49885183118692189</v>
      </c>
      <c r="L130" t="s">
        <v>37</v>
      </c>
      <c r="M130">
        <v>0.50114816881307811</v>
      </c>
    </row>
    <row r="131" spans="1:13">
      <c r="A131" t="s">
        <v>50</v>
      </c>
      <c r="B131">
        <v>2020</v>
      </c>
      <c r="C131" t="s">
        <v>27</v>
      </c>
      <c r="D131">
        <v>2370480315</v>
      </c>
      <c r="E131">
        <v>-7443876717</v>
      </c>
      <c r="F131" s="2">
        <v>-0.75846809859566156</v>
      </c>
      <c r="G131">
        <v>8.153447016029941E-2</v>
      </c>
      <c r="H131">
        <v>492023</v>
      </c>
      <c r="I131">
        <v>102253</v>
      </c>
      <c r="J131" s="2">
        <v>0.26234189393745022</v>
      </c>
      <c r="K131">
        <v>0.69290754299465196</v>
      </c>
      <c r="L131" t="s">
        <v>38</v>
      </c>
      <c r="M131">
        <v>-0.61137307283435249</v>
      </c>
    </row>
    <row r="132" spans="1:13">
      <c r="A132" t="s">
        <v>50</v>
      </c>
      <c r="B132">
        <v>2020</v>
      </c>
      <c r="C132" t="s">
        <v>29</v>
      </c>
      <c r="D132">
        <v>2942193233</v>
      </c>
      <c r="E132">
        <v>571712918</v>
      </c>
      <c r="F132" s="2">
        <v>0.2411802006463826</v>
      </c>
      <c r="G132">
        <v>0.15207548368190621</v>
      </c>
      <c r="H132">
        <v>653838</v>
      </c>
      <c r="I132">
        <v>161815</v>
      </c>
      <c r="J132" s="2">
        <v>0.32887690209604031</v>
      </c>
      <c r="K132">
        <v>1</v>
      </c>
      <c r="L132" t="s">
        <v>39</v>
      </c>
      <c r="M132">
        <v>-0.84792451631809374</v>
      </c>
    </row>
    <row r="133" spans="1:13">
      <c r="A133" t="s">
        <v>50</v>
      </c>
      <c r="B133">
        <v>2020</v>
      </c>
      <c r="C133" t="s">
        <v>31</v>
      </c>
      <c r="D133">
        <v>3747497732</v>
      </c>
      <c r="E133">
        <v>805304499</v>
      </c>
      <c r="F133" s="2">
        <v>0.27370890870375408</v>
      </c>
      <c r="G133">
        <v>0.25143828232514043</v>
      </c>
      <c r="L133" t="s">
        <v>40</v>
      </c>
    </row>
    <row r="134" spans="1:13">
      <c r="A134" t="s">
        <v>51</v>
      </c>
      <c r="B134">
        <v>2018</v>
      </c>
      <c r="C134" t="s">
        <v>25</v>
      </c>
      <c r="D134">
        <v>279047573</v>
      </c>
      <c r="E134">
        <v>0</v>
      </c>
      <c r="F134" s="2">
        <v>0</v>
      </c>
      <c r="G134">
        <v>3.8766508123352868E-2</v>
      </c>
      <c r="L134" t="s">
        <v>26</v>
      </c>
    </row>
    <row r="135" spans="1:13">
      <c r="A135" t="s">
        <v>51</v>
      </c>
      <c r="B135">
        <v>2018</v>
      </c>
      <c r="C135" t="s">
        <v>27</v>
      </c>
      <c r="D135">
        <v>256370991</v>
      </c>
      <c r="E135">
        <v>-22676582</v>
      </c>
      <c r="F135" s="2">
        <v>-8.1264215116466865E-2</v>
      </c>
      <c r="G135">
        <v>2.0773744545248409E-2</v>
      </c>
      <c r="H135">
        <v>81092</v>
      </c>
      <c r="K135">
        <v>3.9188698840104598E-2</v>
      </c>
      <c r="L135" t="s">
        <v>28</v>
      </c>
      <c r="M135">
        <v>-1.8414954294856189E-2</v>
      </c>
    </row>
    <row r="136" spans="1:13">
      <c r="A136" t="s">
        <v>51</v>
      </c>
      <c r="B136">
        <v>2018</v>
      </c>
      <c r="C136" t="s">
        <v>29</v>
      </c>
      <c r="D136">
        <v>363489678</v>
      </c>
      <c r="E136">
        <v>107118687</v>
      </c>
      <c r="F136" s="2">
        <v>0.41782686325848778</v>
      </c>
      <c r="G136">
        <v>0.1057672065223652</v>
      </c>
      <c r="H136">
        <v>77960</v>
      </c>
      <c r="I136">
        <v>-3132</v>
      </c>
      <c r="J136" s="2">
        <v>-3.8622798796428708E-2</v>
      </c>
      <c r="K136">
        <v>0</v>
      </c>
      <c r="L136" t="s">
        <v>30</v>
      </c>
      <c r="M136">
        <v>0.1057672065223652</v>
      </c>
    </row>
    <row r="137" spans="1:13">
      <c r="A137" t="s">
        <v>51</v>
      </c>
      <c r="B137">
        <v>2018</v>
      </c>
      <c r="C137" t="s">
        <v>31</v>
      </c>
      <c r="D137">
        <v>496852139</v>
      </c>
      <c r="E137">
        <v>133362461</v>
      </c>
      <c r="F137" s="2">
        <v>0.36689476777934821</v>
      </c>
      <c r="G137">
        <v>0.21158382522474181</v>
      </c>
      <c r="H137">
        <v>97595</v>
      </c>
      <c r="I137">
        <v>19635</v>
      </c>
      <c r="J137" s="2">
        <v>0.25185992816829139</v>
      </c>
      <c r="K137">
        <v>0.2456801091077439</v>
      </c>
      <c r="L137" t="s">
        <v>32</v>
      </c>
      <c r="M137">
        <v>-3.4096283883002072E-2</v>
      </c>
    </row>
    <row r="138" spans="1:13">
      <c r="A138" t="s">
        <v>51</v>
      </c>
      <c r="B138">
        <v>2019</v>
      </c>
      <c r="C138" t="s">
        <v>25</v>
      </c>
      <c r="D138">
        <v>230189492</v>
      </c>
      <c r="E138">
        <v>-266662647</v>
      </c>
      <c r="F138" s="2">
        <v>-0.53670423465762718</v>
      </c>
      <c r="G138">
        <v>0</v>
      </c>
      <c r="H138">
        <v>99928</v>
      </c>
      <c r="I138">
        <v>2333</v>
      </c>
      <c r="J138" s="2">
        <v>2.390491316153498E-2</v>
      </c>
      <c r="K138">
        <v>0.2748714355425983</v>
      </c>
      <c r="L138" t="s">
        <v>33</v>
      </c>
      <c r="M138">
        <v>-0.2748714355425983</v>
      </c>
    </row>
    <row r="139" spans="1:13">
      <c r="A139" t="s">
        <v>51</v>
      </c>
      <c r="B139">
        <v>2019</v>
      </c>
      <c r="C139" t="s">
        <v>27</v>
      </c>
      <c r="D139">
        <v>401765821</v>
      </c>
      <c r="E139">
        <v>171576329</v>
      </c>
      <c r="F139" s="2">
        <v>0.74536994503641374</v>
      </c>
      <c r="G139">
        <v>0.1361374621314653</v>
      </c>
      <c r="H139">
        <v>101723</v>
      </c>
      <c r="I139">
        <v>1795</v>
      </c>
      <c r="J139" s="2">
        <v>1.7962933311984619E-2</v>
      </c>
      <c r="K139">
        <v>0.29733111447554461</v>
      </c>
      <c r="L139" t="s">
        <v>34</v>
      </c>
      <c r="M139">
        <v>-0.16119365234407931</v>
      </c>
    </row>
    <row r="140" spans="1:13">
      <c r="A140" t="s">
        <v>51</v>
      </c>
      <c r="B140">
        <v>2019</v>
      </c>
      <c r="C140" t="s">
        <v>29</v>
      </c>
      <c r="D140">
        <v>402181090</v>
      </c>
      <c r="E140">
        <v>415269</v>
      </c>
      <c r="F140" s="2">
        <v>1.0336095762610851E-3</v>
      </c>
      <c r="G140">
        <v>0.13646695786139129</v>
      </c>
      <c r="H140">
        <v>92253</v>
      </c>
      <c r="I140">
        <v>-9470</v>
      </c>
      <c r="J140" s="2">
        <v>-9.309595666663395E-2</v>
      </c>
      <c r="K140">
        <v>0.17883910361481961</v>
      </c>
      <c r="L140" t="s">
        <v>35</v>
      </c>
      <c r="M140">
        <v>-4.2372145753428382E-2</v>
      </c>
    </row>
    <row r="141" spans="1:13">
      <c r="A141" t="s">
        <v>51</v>
      </c>
      <c r="B141">
        <v>2019</v>
      </c>
      <c r="C141" t="s">
        <v>31</v>
      </c>
      <c r="D141">
        <v>498463823</v>
      </c>
      <c r="E141">
        <v>96282733</v>
      </c>
      <c r="F141" s="2">
        <v>0.23940144227069449</v>
      </c>
      <c r="G141">
        <v>0.21286261799759509</v>
      </c>
      <c r="H141">
        <v>87715</v>
      </c>
      <c r="I141">
        <v>-4538</v>
      </c>
      <c r="J141" s="2">
        <v>-4.9190812222908782E-2</v>
      </c>
      <c r="K141">
        <v>0.1220580323069031</v>
      </c>
      <c r="L141" t="s">
        <v>36</v>
      </c>
      <c r="M141">
        <v>9.0804585690691997E-2</v>
      </c>
    </row>
    <row r="142" spans="1:13">
      <c r="A142" t="s">
        <v>51</v>
      </c>
      <c r="B142">
        <v>2020</v>
      </c>
      <c r="C142" t="s">
        <v>25</v>
      </c>
      <c r="D142">
        <v>931907159</v>
      </c>
      <c r="E142">
        <v>433443336</v>
      </c>
      <c r="F142" s="2">
        <v>0.86955826280696802</v>
      </c>
      <c r="G142">
        <v>0.55677879853807044</v>
      </c>
      <c r="H142">
        <v>89884</v>
      </c>
      <c r="I142">
        <v>2169</v>
      </c>
      <c r="J142" s="2">
        <v>2.4727811662771378E-2</v>
      </c>
      <c r="K142">
        <v>0.14919733236571109</v>
      </c>
      <c r="L142" t="s">
        <v>37</v>
      </c>
      <c r="M142">
        <v>0.4075814661723593</v>
      </c>
    </row>
    <row r="143" spans="1:13">
      <c r="A143" t="s">
        <v>51</v>
      </c>
      <c r="B143">
        <v>2020</v>
      </c>
      <c r="C143" t="s">
        <v>27</v>
      </c>
      <c r="D143">
        <v>895356284</v>
      </c>
      <c r="E143">
        <v>-36550875</v>
      </c>
      <c r="F143" s="2">
        <v>-3.9221584089150663E-2</v>
      </c>
      <c r="G143">
        <v>0.52777745907483697</v>
      </c>
      <c r="H143">
        <v>121444</v>
      </c>
      <c r="I143">
        <v>31560</v>
      </c>
      <c r="J143" s="2">
        <v>0.35111922032842319</v>
      </c>
      <c r="K143">
        <v>0.5440872861951177</v>
      </c>
      <c r="L143" t="s">
        <v>38</v>
      </c>
      <c r="M143">
        <v>-1.6309827120280729E-2</v>
      </c>
    </row>
    <row r="144" spans="1:13">
      <c r="A144" t="s">
        <v>51</v>
      </c>
      <c r="B144">
        <v>2020</v>
      </c>
      <c r="C144" t="s">
        <v>29</v>
      </c>
      <c r="D144">
        <v>1095934305</v>
      </c>
      <c r="E144">
        <v>200578021</v>
      </c>
      <c r="F144" s="2">
        <v>0.22402034205190199</v>
      </c>
      <c r="G144">
        <v>0.68692635156741244</v>
      </c>
      <c r="H144">
        <v>157881</v>
      </c>
      <c r="I144">
        <v>36437</v>
      </c>
      <c r="J144" s="2">
        <v>0.3000312901419584</v>
      </c>
      <c r="K144">
        <v>1</v>
      </c>
      <c r="L144" t="s">
        <v>39</v>
      </c>
      <c r="M144">
        <v>-0.31307364843258761</v>
      </c>
    </row>
    <row r="145" spans="1:13">
      <c r="A145" t="s">
        <v>51</v>
      </c>
      <c r="B145">
        <v>2020</v>
      </c>
      <c r="C145" t="s">
        <v>31</v>
      </c>
      <c r="D145">
        <v>1490506280</v>
      </c>
      <c r="E145">
        <v>394571975</v>
      </c>
      <c r="F145" s="2">
        <v>0.36003250669299919</v>
      </c>
      <c r="G145">
        <v>1</v>
      </c>
      <c r="L145" t="s">
        <v>40</v>
      </c>
    </row>
    <row r="146" spans="1:13">
      <c r="A146" t="s">
        <v>52</v>
      </c>
      <c r="B146">
        <v>2018</v>
      </c>
      <c r="C146" t="s">
        <v>25</v>
      </c>
      <c r="D146">
        <v>4359</v>
      </c>
      <c r="E146">
        <v>0</v>
      </c>
      <c r="F146" s="2">
        <v>0</v>
      </c>
      <c r="G146">
        <v>9.4351233711294409E-4</v>
      </c>
      <c r="L146" t="s">
        <v>26</v>
      </c>
    </row>
    <row r="147" spans="1:13">
      <c r="A147" t="s">
        <v>52</v>
      </c>
      <c r="B147">
        <v>2018</v>
      </c>
      <c r="C147" t="s">
        <v>27</v>
      </c>
      <c r="D147">
        <v>4408</v>
      </c>
      <c r="E147">
        <v>49</v>
      </c>
      <c r="F147" s="2">
        <v>1.124111034640962E-2</v>
      </c>
      <c r="G147">
        <v>9.5536064683066177E-4</v>
      </c>
      <c r="H147">
        <v>10521</v>
      </c>
      <c r="K147">
        <v>3.9798994974874373E-2</v>
      </c>
      <c r="L147" t="s">
        <v>28</v>
      </c>
      <c r="M147">
        <v>-3.8843634328043712E-2</v>
      </c>
    </row>
    <row r="148" spans="1:13">
      <c r="A148" t="s">
        <v>52</v>
      </c>
      <c r="B148">
        <v>2018</v>
      </c>
      <c r="C148" t="s">
        <v>29</v>
      </c>
      <c r="D148">
        <v>4278</v>
      </c>
      <c r="E148">
        <v>-130</v>
      </c>
      <c r="F148" s="2">
        <v>-2.949183303085301E-2</v>
      </c>
      <c r="G148">
        <v>9.2392635574283942E-4</v>
      </c>
      <c r="H148">
        <v>10464</v>
      </c>
      <c r="I148">
        <v>-57</v>
      </c>
      <c r="J148" s="2">
        <v>-5.4177359566580652E-3</v>
      </c>
      <c r="K148">
        <v>3.6934673366834168E-2</v>
      </c>
      <c r="L148" t="s">
        <v>30</v>
      </c>
      <c r="M148">
        <v>-3.6010747011091332E-2</v>
      </c>
    </row>
    <row r="149" spans="1:13">
      <c r="A149" t="s">
        <v>52</v>
      </c>
      <c r="B149">
        <v>2018</v>
      </c>
      <c r="C149" t="s">
        <v>31</v>
      </c>
      <c r="D149">
        <v>457</v>
      </c>
      <c r="E149">
        <v>-3821</v>
      </c>
      <c r="F149" s="2">
        <v>-0.89317438055165965</v>
      </c>
      <c r="G149">
        <v>0</v>
      </c>
      <c r="H149">
        <v>9729</v>
      </c>
      <c r="I149">
        <v>-735</v>
      </c>
      <c r="J149" s="2">
        <v>-7.0240825688073438E-2</v>
      </c>
      <c r="K149">
        <v>0</v>
      </c>
      <c r="L149" t="s">
        <v>32</v>
      </c>
      <c r="M149">
        <v>0</v>
      </c>
    </row>
    <row r="150" spans="1:13">
      <c r="A150" t="s">
        <v>52</v>
      </c>
      <c r="B150">
        <v>2019</v>
      </c>
      <c r="C150" t="s">
        <v>25</v>
      </c>
      <c r="D150">
        <v>2572964</v>
      </c>
      <c r="E150">
        <v>2572507</v>
      </c>
      <c r="F150" s="2">
        <v>5629.1181619256022</v>
      </c>
      <c r="G150">
        <v>0.6220379527958505</v>
      </c>
      <c r="H150">
        <v>9916</v>
      </c>
      <c r="I150">
        <v>187</v>
      </c>
      <c r="J150" s="2">
        <v>1.9220886010895329E-2</v>
      </c>
      <c r="K150">
        <v>9.3969849246231148E-3</v>
      </c>
      <c r="L150" t="s">
        <v>33</v>
      </c>
      <c r="M150">
        <v>0.61264096787122735</v>
      </c>
    </row>
    <row r="151" spans="1:13">
      <c r="A151" t="s">
        <v>52</v>
      </c>
      <c r="B151">
        <v>2019</v>
      </c>
      <c r="C151" t="s">
        <v>27</v>
      </c>
      <c r="D151">
        <v>2747372</v>
      </c>
      <c r="E151">
        <v>174408</v>
      </c>
      <c r="F151" s="2">
        <v>6.7784858241312307E-2</v>
      </c>
      <c r="G151">
        <v>0.66421019771927292</v>
      </c>
      <c r="H151">
        <v>10717</v>
      </c>
      <c r="I151">
        <v>801</v>
      </c>
      <c r="J151" s="2">
        <v>8.0778539733763699E-2</v>
      </c>
      <c r="K151">
        <v>4.9648241206030147E-2</v>
      </c>
      <c r="L151" t="s">
        <v>34</v>
      </c>
      <c r="M151">
        <v>0.61456195651324275</v>
      </c>
    </row>
    <row r="152" spans="1:13">
      <c r="A152" t="s">
        <v>52</v>
      </c>
      <c r="B152">
        <v>2019</v>
      </c>
      <c r="C152" t="s">
        <v>29</v>
      </c>
      <c r="D152">
        <v>4136068</v>
      </c>
      <c r="E152">
        <v>1388696</v>
      </c>
      <c r="F152" s="2">
        <v>0.50546340284460922</v>
      </c>
      <c r="G152">
        <v>1</v>
      </c>
      <c r="H152">
        <v>11863</v>
      </c>
      <c r="I152">
        <v>1146</v>
      </c>
      <c r="J152" s="2">
        <v>0.10693291032938319</v>
      </c>
      <c r="K152">
        <v>0.1072361809045226</v>
      </c>
      <c r="L152" t="s">
        <v>35</v>
      </c>
      <c r="M152">
        <v>0.89276381909547742</v>
      </c>
    </row>
    <row r="153" spans="1:13">
      <c r="A153" t="s">
        <v>52</v>
      </c>
      <c r="B153">
        <v>2019</v>
      </c>
      <c r="C153" t="s">
        <v>31</v>
      </c>
      <c r="D153">
        <v>3845892</v>
      </c>
      <c r="E153">
        <v>-290176</v>
      </c>
      <c r="F153" s="2">
        <v>-7.0157453890990151E-2</v>
      </c>
      <c r="G153">
        <v>0.92983479345615438</v>
      </c>
      <c r="H153">
        <v>12315</v>
      </c>
      <c r="I153">
        <v>452</v>
      </c>
      <c r="J153" s="2">
        <v>3.8101660625474272E-2</v>
      </c>
      <c r="K153">
        <v>0.12994974874371859</v>
      </c>
      <c r="L153" t="s">
        <v>36</v>
      </c>
      <c r="M153">
        <v>0.79988504471243582</v>
      </c>
    </row>
    <row r="154" spans="1:13">
      <c r="A154" t="s">
        <v>52</v>
      </c>
      <c r="B154">
        <v>2020</v>
      </c>
      <c r="C154" t="s">
        <v>25</v>
      </c>
      <c r="D154">
        <v>4038396</v>
      </c>
      <c r="E154">
        <v>192504</v>
      </c>
      <c r="F154" s="2">
        <v>5.0054447706799898E-2</v>
      </c>
      <c r="G154">
        <v>0.97638269169900171</v>
      </c>
      <c r="H154">
        <v>19422</v>
      </c>
      <c r="I154">
        <v>7107</v>
      </c>
      <c r="J154" s="2">
        <v>0.57710109622411698</v>
      </c>
      <c r="K154">
        <v>0.48708542713567837</v>
      </c>
      <c r="L154" t="s">
        <v>37</v>
      </c>
      <c r="M154">
        <v>0.48929726456332329</v>
      </c>
    </row>
    <row r="155" spans="1:13">
      <c r="A155" t="s">
        <v>52</v>
      </c>
      <c r="B155">
        <v>2020</v>
      </c>
      <c r="C155" t="s">
        <v>27</v>
      </c>
      <c r="D155">
        <v>3588970</v>
      </c>
      <c r="E155">
        <v>-449426</v>
      </c>
      <c r="F155" s="2">
        <v>-0.1112882441444574</v>
      </c>
      <c r="G155">
        <v>0.86771047857257366</v>
      </c>
      <c r="H155">
        <v>26563</v>
      </c>
      <c r="I155">
        <v>7141</v>
      </c>
      <c r="J155" s="2">
        <v>0.36767583153125322</v>
      </c>
      <c r="K155">
        <v>0.84592964824120598</v>
      </c>
      <c r="L155" t="s">
        <v>38</v>
      </c>
      <c r="M155">
        <v>2.1780830331367681E-2</v>
      </c>
    </row>
    <row r="156" spans="1:13">
      <c r="A156" t="s">
        <v>52</v>
      </c>
      <c r="B156">
        <v>2020</v>
      </c>
      <c r="C156" t="s">
        <v>29</v>
      </c>
      <c r="D156">
        <v>3335972</v>
      </c>
      <c r="E156">
        <v>-252998</v>
      </c>
      <c r="F156" s="2">
        <v>-7.049320557151495E-2</v>
      </c>
      <c r="G156">
        <v>0.80653499567536691</v>
      </c>
      <c r="H156">
        <v>29629</v>
      </c>
      <c r="I156">
        <v>3066</v>
      </c>
      <c r="J156" s="2">
        <v>0.1154237096713473</v>
      </c>
      <c r="K156">
        <v>1</v>
      </c>
      <c r="L156" t="s">
        <v>39</v>
      </c>
      <c r="M156">
        <v>-0.19346500432463309</v>
      </c>
    </row>
    <row r="157" spans="1:13">
      <c r="A157" t="s">
        <v>52</v>
      </c>
      <c r="B157">
        <v>2020</v>
      </c>
      <c r="C157" t="s">
        <v>31</v>
      </c>
      <c r="D157">
        <v>3353082</v>
      </c>
      <c r="E157">
        <v>17110</v>
      </c>
      <c r="F157" s="2">
        <v>5.1289399311504891E-3</v>
      </c>
      <c r="G157">
        <v>0.81067223198700267</v>
      </c>
      <c r="L157" t="s">
        <v>40</v>
      </c>
    </row>
    <row r="158" spans="1:13">
      <c r="A158" t="s">
        <v>53</v>
      </c>
      <c r="B158">
        <v>2018</v>
      </c>
      <c r="C158" t="s">
        <v>25</v>
      </c>
      <c r="D158">
        <v>688673</v>
      </c>
      <c r="E158">
        <v>0</v>
      </c>
      <c r="F158" s="2">
        <v>0</v>
      </c>
      <c r="G158">
        <v>4.0609919902506238E-2</v>
      </c>
      <c r="L158" t="s">
        <v>26</v>
      </c>
    </row>
    <row r="159" spans="1:13">
      <c r="A159" t="s">
        <v>53</v>
      </c>
      <c r="B159">
        <v>2018</v>
      </c>
      <c r="C159" t="s">
        <v>27</v>
      </c>
      <c r="D159">
        <v>568782</v>
      </c>
      <c r="E159">
        <v>-119891</v>
      </c>
      <c r="F159" s="2">
        <v>-0.17408988010274831</v>
      </c>
      <c r="G159">
        <v>2.870413420962787E-2</v>
      </c>
      <c r="H159">
        <v>28460</v>
      </c>
      <c r="K159">
        <v>0</v>
      </c>
      <c r="L159" t="s">
        <v>28</v>
      </c>
      <c r="M159">
        <v>2.870413420962787E-2</v>
      </c>
    </row>
    <row r="160" spans="1:13">
      <c r="A160" t="s">
        <v>53</v>
      </c>
      <c r="B160">
        <v>2018</v>
      </c>
      <c r="C160" t="s">
        <v>29</v>
      </c>
      <c r="D160">
        <v>583172</v>
      </c>
      <c r="E160">
        <v>14390</v>
      </c>
      <c r="F160" s="2">
        <v>2.5299675446831978E-2</v>
      </c>
      <c r="G160">
        <v>3.0133134352428571E-2</v>
      </c>
      <c r="H160">
        <v>41902</v>
      </c>
      <c r="I160">
        <v>13442</v>
      </c>
      <c r="J160" s="2">
        <v>0.47231201686577662</v>
      </c>
      <c r="K160">
        <v>3.744696499062572E-2</v>
      </c>
      <c r="L160" t="s">
        <v>30</v>
      </c>
      <c r="M160">
        <v>-7.3138306381971448E-3</v>
      </c>
    </row>
    <row r="161" spans="1:13">
      <c r="A161" t="s">
        <v>53</v>
      </c>
      <c r="B161">
        <v>2018</v>
      </c>
      <c r="C161" t="s">
        <v>31</v>
      </c>
      <c r="D161">
        <v>461357</v>
      </c>
      <c r="E161">
        <v>-121815</v>
      </c>
      <c r="F161" s="2">
        <v>-0.20888348548970109</v>
      </c>
      <c r="G161">
        <v>1.8036285680068018E-2</v>
      </c>
      <c r="H161">
        <v>59213</v>
      </c>
      <c r="I161">
        <v>17311</v>
      </c>
      <c r="J161" s="2">
        <v>0.41313063815569667</v>
      </c>
      <c r="K161">
        <v>8.5672259660520222E-2</v>
      </c>
      <c r="L161" t="s">
        <v>32</v>
      </c>
      <c r="M161">
        <v>-6.7635973980452208E-2</v>
      </c>
    </row>
    <row r="162" spans="1:13">
      <c r="A162" t="s">
        <v>53</v>
      </c>
      <c r="B162">
        <v>2019</v>
      </c>
      <c r="C162" t="s">
        <v>25</v>
      </c>
      <c r="D162">
        <v>279732</v>
      </c>
      <c r="E162">
        <v>-181625</v>
      </c>
      <c r="F162" s="2">
        <v>-0.39367561346202617</v>
      </c>
      <c r="G162">
        <v>0</v>
      </c>
      <c r="H162">
        <v>93894</v>
      </c>
      <c r="I162">
        <v>34681</v>
      </c>
      <c r="J162" s="2">
        <v>0.58569908634928147</v>
      </c>
      <c r="K162">
        <v>0.18228721225982769</v>
      </c>
      <c r="L162" t="s">
        <v>33</v>
      </c>
      <c r="M162">
        <v>-0.18228721225982769</v>
      </c>
    </row>
    <row r="163" spans="1:13">
      <c r="A163" t="s">
        <v>53</v>
      </c>
      <c r="B163">
        <v>2019</v>
      </c>
      <c r="C163" t="s">
        <v>27</v>
      </c>
      <c r="D163">
        <v>650152</v>
      </c>
      <c r="E163">
        <v>370420</v>
      </c>
      <c r="F163" s="2">
        <v>1.324196016186922</v>
      </c>
      <c r="G163">
        <v>3.678458880446412E-2</v>
      </c>
      <c r="H163">
        <v>116749</v>
      </c>
      <c r="I163">
        <v>22855</v>
      </c>
      <c r="J163" s="2">
        <v>0.2434127846294758</v>
      </c>
      <c r="K163">
        <v>0.24595708168854</v>
      </c>
      <c r="L163" t="s">
        <v>34</v>
      </c>
      <c r="M163">
        <v>-0.20917249288407591</v>
      </c>
    </row>
    <row r="164" spans="1:13">
      <c r="A164" t="s">
        <v>53</v>
      </c>
      <c r="B164">
        <v>2019</v>
      </c>
      <c r="C164" t="s">
        <v>29</v>
      </c>
      <c r="D164">
        <v>573848</v>
      </c>
      <c r="E164">
        <v>-76304</v>
      </c>
      <c r="F164" s="2">
        <v>-0.1173633242687864</v>
      </c>
      <c r="G164">
        <v>2.9207213759553399E-2</v>
      </c>
      <c r="H164">
        <v>124267</v>
      </c>
      <c r="I164">
        <v>7518</v>
      </c>
      <c r="J164" s="2">
        <v>6.4394555842020029E-2</v>
      </c>
      <c r="K164">
        <v>0.26690086109633082</v>
      </c>
      <c r="L164" t="s">
        <v>35</v>
      </c>
      <c r="M164">
        <v>-0.23769364733677739</v>
      </c>
    </row>
    <row r="165" spans="1:13">
      <c r="A165" t="s">
        <v>53</v>
      </c>
      <c r="B165">
        <v>2019</v>
      </c>
      <c r="C165" t="s">
        <v>31</v>
      </c>
      <c r="D165">
        <v>880015</v>
      </c>
      <c r="E165">
        <v>306167</v>
      </c>
      <c r="F165" s="2">
        <v>0.53353327013425167</v>
      </c>
      <c r="G165">
        <v>5.9611153073025579E-2</v>
      </c>
      <c r="H165">
        <v>151701</v>
      </c>
      <c r="I165">
        <v>27434</v>
      </c>
      <c r="J165" s="2">
        <v>0.220766575196955</v>
      </c>
      <c r="K165">
        <v>0.34332699095444907</v>
      </c>
      <c r="L165" t="s">
        <v>36</v>
      </c>
      <c r="M165">
        <v>-0.28371583788142352</v>
      </c>
    </row>
    <row r="166" spans="1:13">
      <c r="A166" t="s">
        <v>53</v>
      </c>
      <c r="B166">
        <v>2020</v>
      </c>
      <c r="C166" t="s">
        <v>25</v>
      </c>
      <c r="D166">
        <v>1159858</v>
      </c>
      <c r="E166">
        <v>279843</v>
      </c>
      <c r="F166" s="2">
        <v>0.31799798867064771</v>
      </c>
      <c r="G166">
        <v>8.7400985384476507E-2</v>
      </c>
      <c r="H166">
        <v>255390</v>
      </c>
      <c r="I166">
        <v>103689</v>
      </c>
      <c r="J166" s="2">
        <v>0.68350900785097002</v>
      </c>
      <c r="K166">
        <v>0.63218566919526076</v>
      </c>
      <c r="L166" t="s">
        <v>37</v>
      </c>
      <c r="M166">
        <v>-0.54478468381078426</v>
      </c>
    </row>
    <row r="167" spans="1:13">
      <c r="A167" t="s">
        <v>53</v>
      </c>
      <c r="B167">
        <v>2020</v>
      </c>
      <c r="C167" t="s">
        <v>27</v>
      </c>
      <c r="D167">
        <v>2571554</v>
      </c>
      <c r="E167">
        <v>1411696</v>
      </c>
      <c r="F167" s="2">
        <v>1.217128303637169</v>
      </c>
      <c r="G167">
        <v>0.22758957368129301</v>
      </c>
      <c r="H167">
        <v>358667</v>
      </c>
      <c r="I167">
        <v>103277</v>
      </c>
      <c r="J167" s="2">
        <v>0.40438936528446678</v>
      </c>
      <c r="K167">
        <v>0.91989659043740124</v>
      </c>
      <c r="L167" t="s">
        <v>38</v>
      </c>
      <c r="M167">
        <v>-0.69230701675610817</v>
      </c>
    </row>
    <row r="168" spans="1:13">
      <c r="A168" t="s">
        <v>53</v>
      </c>
      <c r="B168">
        <v>2020</v>
      </c>
      <c r="C168" t="s">
        <v>29</v>
      </c>
      <c r="D168">
        <v>5455070</v>
      </c>
      <c r="E168">
        <v>2883516</v>
      </c>
      <c r="F168" s="2">
        <v>1.1213126381946481</v>
      </c>
      <c r="G168">
        <v>0.51393736907866139</v>
      </c>
      <c r="H168">
        <v>387421</v>
      </c>
      <c r="I168">
        <v>28754</v>
      </c>
      <c r="J168" s="2">
        <v>8.0169070474841675E-2</v>
      </c>
      <c r="K168">
        <v>1</v>
      </c>
      <c r="L168" t="s">
        <v>39</v>
      </c>
      <c r="M168">
        <v>-0.48606263092133861</v>
      </c>
    </row>
    <row r="169" spans="1:13">
      <c r="A169" t="s">
        <v>53</v>
      </c>
      <c r="B169">
        <v>2020</v>
      </c>
      <c r="C169" t="s">
        <v>31</v>
      </c>
      <c r="D169">
        <v>10349710</v>
      </c>
      <c r="E169">
        <v>4894640</v>
      </c>
      <c r="F169" s="2">
        <v>0.89726437974214823</v>
      </c>
      <c r="G169">
        <v>1</v>
      </c>
      <c r="L169" t="s">
        <v>40</v>
      </c>
    </row>
    <row r="170" spans="1:13">
      <c r="A170" t="s">
        <v>54</v>
      </c>
      <c r="B170">
        <v>2018</v>
      </c>
      <c r="C170" t="s">
        <v>25</v>
      </c>
      <c r="D170">
        <v>175535361</v>
      </c>
      <c r="E170">
        <v>0</v>
      </c>
      <c r="F170" s="2">
        <v>0</v>
      </c>
      <c r="G170">
        <v>6.3300568410689104E-3</v>
      </c>
      <c r="L170" t="s">
        <v>26</v>
      </c>
    </row>
    <row r="171" spans="1:13">
      <c r="A171" t="s">
        <v>54</v>
      </c>
      <c r="B171">
        <v>2018</v>
      </c>
      <c r="C171" t="s">
        <v>27</v>
      </c>
      <c r="D171">
        <v>169998589</v>
      </c>
      <c r="E171">
        <v>-5536772</v>
      </c>
      <c r="F171" s="2">
        <v>-3.1542203055030082E-2</v>
      </c>
      <c r="G171">
        <v>3.2322439922607242E-3</v>
      </c>
      <c r="H171">
        <v>77403</v>
      </c>
      <c r="K171">
        <v>0</v>
      </c>
      <c r="L171" t="s">
        <v>28</v>
      </c>
      <c r="M171">
        <v>3.2322439922607242E-3</v>
      </c>
    </row>
    <row r="172" spans="1:13">
      <c r="A172" t="s">
        <v>54</v>
      </c>
      <c r="B172">
        <v>2018</v>
      </c>
      <c r="C172" t="s">
        <v>29</v>
      </c>
      <c r="D172">
        <v>223176150</v>
      </c>
      <c r="E172">
        <v>53177561</v>
      </c>
      <c r="F172" s="2">
        <v>0.31281177869070431</v>
      </c>
      <c r="G172">
        <v>3.2984982904768069E-2</v>
      </c>
      <c r="H172">
        <v>101629</v>
      </c>
      <c r="I172">
        <v>24226</v>
      </c>
      <c r="J172" s="2">
        <v>0.3129852848080823</v>
      </c>
      <c r="K172">
        <v>4.9825386966340202E-2</v>
      </c>
      <c r="L172" t="s">
        <v>30</v>
      </c>
      <c r="M172">
        <v>-1.6840404061572129E-2</v>
      </c>
    </row>
    <row r="173" spans="1:13">
      <c r="A173" t="s">
        <v>54</v>
      </c>
      <c r="B173">
        <v>2018</v>
      </c>
      <c r="C173" t="s">
        <v>31</v>
      </c>
      <c r="D173">
        <v>190237164</v>
      </c>
      <c r="E173">
        <v>-32938986</v>
      </c>
      <c r="F173" s="2">
        <v>-0.1475918730563279</v>
      </c>
      <c r="G173">
        <v>1.455568618503445E-2</v>
      </c>
      <c r="H173">
        <v>81923</v>
      </c>
      <c r="I173">
        <v>-19706</v>
      </c>
      <c r="J173" s="2">
        <v>-0.19390134705645051</v>
      </c>
      <c r="K173">
        <v>9.296241603560542E-3</v>
      </c>
      <c r="L173" t="s">
        <v>32</v>
      </c>
      <c r="M173">
        <v>5.259444581473904E-3</v>
      </c>
    </row>
    <row r="174" spans="1:13">
      <c r="A174" t="s">
        <v>54</v>
      </c>
      <c r="B174">
        <v>2019</v>
      </c>
      <c r="C174" t="s">
        <v>25</v>
      </c>
      <c r="D174">
        <v>230084165</v>
      </c>
      <c r="E174">
        <v>39847001</v>
      </c>
      <c r="F174" s="2">
        <v>0.20945960380275649</v>
      </c>
      <c r="G174">
        <v>3.6850003466705541E-2</v>
      </c>
      <c r="H174">
        <v>125849</v>
      </c>
      <c r="I174">
        <v>43926</v>
      </c>
      <c r="J174" s="2">
        <v>0.5361864189543839</v>
      </c>
      <c r="K174">
        <v>9.9638433788958869E-2</v>
      </c>
      <c r="L174" t="s">
        <v>33</v>
      </c>
      <c r="M174">
        <v>-6.2788430322253327E-2</v>
      </c>
    </row>
    <row r="175" spans="1:13">
      <c r="A175" t="s">
        <v>54</v>
      </c>
      <c r="B175">
        <v>2019</v>
      </c>
      <c r="C175" t="s">
        <v>27</v>
      </c>
      <c r="D175">
        <v>210698966</v>
      </c>
      <c r="E175">
        <v>-19385199</v>
      </c>
      <c r="F175" s="2">
        <v>-8.4252642940464861E-2</v>
      </c>
      <c r="G175">
        <v>2.600402343738456E-2</v>
      </c>
      <c r="H175">
        <v>166164</v>
      </c>
      <c r="I175">
        <v>40315</v>
      </c>
      <c r="J175" s="2">
        <v>0.32034422204387791</v>
      </c>
      <c r="K175">
        <v>0.18255391614461</v>
      </c>
      <c r="L175" t="s">
        <v>34</v>
      </c>
      <c r="M175">
        <v>-0.1565498927072255</v>
      </c>
    </row>
    <row r="176" spans="1:13">
      <c r="A176" t="s">
        <v>54</v>
      </c>
      <c r="B176">
        <v>2019</v>
      </c>
      <c r="C176" t="s">
        <v>29</v>
      </c>
      <c r="D176">
        <v>164221546</v>
      </c>
      <c r="E176">
        <v>-46477420</v>
      </c>
      <c r="F176" s="2">
        <v>-0.22058684426576641</v>
      </c>
      <c r="G176">
        <v>0</v>
      </c>
      <c r="H176">
        <v>153472</v>
      </c>
      <c r="I176">
        <v>-12692</v>
      </c>
      <c r="J176" s="2">
        <v>-7.638236922558439E-2</v>
      </c>
      <c r="K176">
        <v>0.15645039879231129</v>
      </c>
      <c r="L176" t="s">
        <v>35</v>
      </c>
      <c r="M176">
        <v>-0.15645039879231129</v>
      </c>
    </row>
    <row r="177" spans="1:13">
      <c r="A177" t="s">
        <v>54</v>
      </c>
      <c r="B177">
        <v>2019</v>
      </c>
      <c r="C177" t="s">
        <v>31</v>
      </c>
      <c r="D177">
        <v>172289356</v>
      </c>
      <c r="E177">
        <v>8067810</v>
      </c>
      <c r="F177" s="2">
        <v>4.9127597422569558E-2</v>
      </c>
      <c r="G177">
        <v>4.5139235424075932E-3</v>
      </c>
      <c r="H177">
        <v>120112</v>
      </c>
      <c r="I177">
        <v>-33360</v>
      </c>
      <c r="J177" s="2">
        <v>-0.21736864053377811</v>
      </c>
      <c r="K177">
        <v>8.783919970054585E-2</v>
      </c>
      <c r="L177" t="s">
        <v>36</v>
      </c>
      <c r="M177">
        <v>-8.3325276158138256E-2</v>
      </c>
    </row>
    <row r="178" spans="1:13">
      <c r="A178" t="s">
        <v>54</v>
      </c>
      <c r="B178">
        <v>2020</v>
      </c>
      <c r="C178" t="s">
        <v>25</v>
      </c>
      <c r="D178">
        <v>305289149</v>
      </c>
      <c r="E178">
        <v>132999793</v>
      </c>
      <c r="F178" s="2">
        <v>0.7719559471799291</v>
      </c>
      <c r="G178">
        <v>7.8927041446527374E-2</v>
      </c>
      <c r="H178">
        <v>202984</v>
      </c>
      <c r="I178">
        <v>82872</v>
      </c>
      <c r="J178" s="2">
        <v>0.6899560410283736</v>
      </c>
      <c r="K178">
        <v>0.25828126478246383</v>
      </c>
      <c r="L178" t="s">
        <v>37</v>
      </c>
      <c r="M178">
        <v>-0.17935422333593651</v>
      </c>
    </row>
    <row r="179" spans="1:13">
      <c r="A179" t="s">
        <v>54</v>
      </c>
      <c r="B179">
        <v>2020</v>
      </c>
      <c r="C179" t="s">
        <v>27</v>
      </c>
      <c r="D179">
        <v>436085546</v>
      </c>
      <c r="E179">
        <v>130796397</v>
      </c>
      <c r="F179" s="2">
        <v>0.42843447737475931</v>
      </c>
      <c r="G179">
        <v>0.15210736370007449</v>
      </c>
      <c r="H179">
        <v>317022</v>
      </c>
      <c r="I179">
        <v>114038</v>
      </c>
      <c r="J179" s="2">
        <v>0.56180782721790878</v>
      </c>
      <c r="K179">
        <v>0.49282214973530392</v>
      </c>
      <c r="L179" t="s">
        <v>38</v>
      </c>
      <c r="M179">
        <v>-0.34071478603522942</v>
      </c>
    </row>
    <row r="180" spans="1:13">
      <c r="A180" t="s">
        <v>54</v>
      </c>
      <c r="B180">
        <v>2020</v>
      </c>
      <c r="C180" t="s">
        <v>29</v>
      </c>
      <c r="D180">
        <v>1017615619</v>
      </c>
      <c r="E180">
        <v>581530073</v>
      </c>
      <c r="F180" s="2">
        <v>1.333522925339057</v>
      </c>
      <c r="G180">
        <v>0.47747227526005248</v>
      </c>
      <c r="H180">
        <v>563621</v>
      </c>
      <c r="I180">
        <v>246599</v>
      </c>
      <c r="J180" s="2">
        <v>0.7778608424651916</v>
      </c>
      <c r="K180">
        <v>1</v>
      </c>
      <c r="L180" t="s">
        <v>39</v>
      </c>
      <c r="M180">
        <v>-0.52252772473994746</v>
      </c>
    </row>
    <row r="181" spans="1:13">
      <c r="A181" t="s">
        <v>54</v>
      </c>
      <c r="B181">
        <v>2020</v>
      </c>
      <c r="C181" t="s">
        <v>31</v>
      </c>
      <c r="D181">
        <v>1951538040</v>
      </c>
      <c r="E181">
        <v>933922421</v>
      </c>
      <c r="F181" s="2">
        <v>0.91775558822274728</v>
      </c>
      <c r="G181">
        <v>1</v>
      </c>
      <c r="L181" t="s">
        <v>40</v>
      </c>
    </row>
    <row r="182" spans="1:13">
      <c r="A182" t="s">
        <v>55</v>
      </c>
      <c r="B182">
        <v>2018</v>
      </c>
      <c r="C182" t="s">
        <v>25</v>
      </c>
      <c r="D182">
        <v>82408391</v>
      </c>
      <c r="E182">
        <v>0</v>
      </c>
      <c r="F182" s="2">
        <v>0</v>
      </c>
      <c r="G182">
        <v>0.95670430080286128</v>
      </c>
      <c r="L182" t="s">
        <v>26</v>
      </c>
    </row>
    <row r="183" spans="1:13">
      <c r="A183" t="s">
        <v>55</v>
      </c>
      <c r="B183">
        <v>2018</v>
      </c>
      <c r="C183" t="s">
        <v>27</v>
      </c>
      <c r="D183">
        <v>85461524</v>
      </c>
      <c r="E183">
        <v>3053133</v>
      </c>
      <c r="F183" s="2">
        <v>3.7048812177391088E-2</v>
      </c>
      <c r="G183">
        <v>1</v>
      </c>
      <c r="H183">
        <v>10827</v>
      </c>
      <c r="K183">
        <v>3.1725007883948281E-3</v>
      </c>
      <c r="L183" t="s">
        <v>28</v>
      </c>
      <c r="M183">
        <v>0.99682749921160518</v>
      </c>
    </row>
    <row r="184" spans="1:13">
      <c r="A184" t="s">
        <v>55</v>
      </c>
      <c r="B184">
        <v>2018</v>
      </c>
      <c r="C184" t="s">
        <v>29</v>
      </c>
      <c r="D184">
        <v>72253179</v>
      </c>
      <c r="E184">
        <v>-13208345</v>
      </c>
      <c r="F184" s="2">
        <v>-0.15455311796218371</v>
      </c>
      <c r="G184">
        <v>0.81269583342355833</v>
      </c>
      <c r="H184">
        <v>10324</v>
      </c>
      <c r="I184">
        <v>-503</v>
      </c>
      <c r="J184" s="2">
        <v>-4.6457929250946717E-2</v>
      </c>
      <c r="K184">
        <v>0</v>
      </c>
      <c r="L184" t="s">
        <v>30</v>
      </c>
      <c r="M184">
        <v>0.81269583342355833</v>
      </c>
    </row>
    <row r="185" spans="1:13">
      <c r="A185" t="s">
        <v>55</v>
      </c>
      <c r="B185">
        <v>2018</v>
      </c>
      <c r="C185" t="s">
        <v>31</v>
      </c>
      <c r="D185">
        <v>66382207</v>
      </c>
      <c r="E185">
        <v>-5870972</v>
      </c>
      <c r="F185" s="2">
        <v>-8.1255552783359164E-2</v>
      </c>
      <c r="G185">
        <v>0.72944107914104794</v>
      </c>
      <c r="H185">
        <v>11398</v>
      </c>
      <c r="I185">
        <v>1074</v>
      </c>
      <c r="J185" s="2">
        <v>0.1040294459511817</v>
      </c>
      <c r="K185">
        <v>6.7738883632923368E-3</v>
      </c>
      <c r="L185" t="s">
        <v>32</v>
      </c>
      <c r="M185">
        <v>0.72266719077775565</v>
      </c>
    </row>
    <row r="186" spans="1:13">
      <c r="A186" t="s">
        <v>55</v>
      </c>
      <c r="B186">
        <v>2019</v>
      </c>
      <c r="C186" t="s">
        <v>25</v>
      </c>
      <c r="D186">
        <v>47081366</v>
      </c>
      <c r="E186">
        <v>-19300841</v>
      </c>
      <c r="F186" s="2">
        <v>-0.29075322849690732</v>
      </c>
      <c r="G186">
        <v>0.45574078302299409</v>
      </c>
      <c r="H186">
        <v>12203</v>
      </c>
      <c r="I186">
        <v>805</v>
      </c>
      <c r="J186" s="2">
        <v>7.0626425688717243E-2</v>
      </c>
      <c r="K186">
        <v>1.185115105644907E-2</v>
      </c>
      <c r="L186" t="s">
        <v>33</v>
      </c>
      <c r="M186">
        <v>0.44388963196654507</v>
      </c>
    </row>
    <row r="187" spans="1:13">
      <c r="A187" t="s">
        <v>55</v>
      </c>
      <c r="B187">
        <v>2019</v>
      </c>
      <c r="C187" t="s">
        <v>27</v>
      </c>
      <c r="D187">
        <v>52159744</v>
      </c>
      <c r="E187">
        <v>5078378</v>
      </c>
      <c r="F187" s="2">
        <v>0.10786386274348959</v>
      </c>
      <c r="G187">
        <v>0.52775596424745008</v>
      </c>
      <c r="H187">
        <v>13874</v>
      </c>
      <c r="I187">
        <v>1671</v>
      </c>
      <c r="J187" s="2">
        <v>0.13693354093255761</v>
      </c>
      <c r="K187">
        <v>2.2390413118889941E-2</v>
      </c>
      <c r="L187" t="s">
        <v>34</v>
      </c>
      <c r="M187">
        <v>0.50536555112856019</v>
      </c>
    </row>
    <row r="188" spans="1:13">
      <c r="A188" t="s">
        <v>55</v>
      </c>
      <c r="B188">
        <v>2019</v>
      </c>
      <c r="C188" t="s">
        <v>29</v>
      </c>
      <c r="D188">
        <v>42861347</v>
      </c>
      <c r="E188">
        <v>-9298397</v>
      </c>
      <c r="F188" s="2">
        <v>-0.17826768858374761</v>
      </c>
      <c r="G188">
        <v>0.39589777152293498</v>
      </c>
      <c r="H188">
        <v>15324</v>
      </c>
      <c r="I188">
        <v>1450</v>
      </c>
      <c r="J188" s="2">
        <v>0.1045120369035606</v>
      </c>
      <c r="K188">
        <v>3.1535793125197102E-2</v>
      </c>
      <c r="L188" t="s">
        <v>35</v>
      </c>
      <c r="M188">
        <v>0.36436197839773787</v>
      </c>
    </row>
    <row r="189" spans="1:13">
      <c r="A189" t="s">
        <v>55</v>
      </c>
      <c r="B189">
        <v>2019</v>
      </c>
      <c r="C189" t="s">
        <v>31</v>
      </c>
      <c r="D189">
        <v>41058965</v>
      </c>
      <c r="E189">
        <v>-1802382</v>
      </c>
      <c r="F189" s="2">
        <v>-4.2051454892446549E-2</v>
      </c>
      <c r="G189">
        <v>0.37033865277169248</v>
      </c>
      <c r="H189">
        <v>18231</v>
      </c>
      <c r="I189">
        <v>2907</v>
      </c>
      <c r="J189" s="2">
        <v>0.18970242756460459</v>
      </c>
      <c r="K189">
        <v>4.9870703248186689E-2</v>
      </c>
      <c r="L189" t="s">
        <v>36</v>
      </c>
      <c r="M189">
        <v>0.32046794952350582</v>
      </c>
    </row>
    <row r="190" spans="1:13">
      <c r="A190" t="s">
        <v>55</v>
      </c>
      <c r="B190">
        <v>2020</v>
      </c>
      <c r="C190" t="s">
        <v>25</v>
      </c>
      <c r="D190">
        <v>50995578</v>
      </c>
      <c r="E190">
        <v>9936613</v>
      </c>
      <c r="F190" s="2">
        <v>0.24200836528636319</v>
      </c>
      <c r="G190">
        <v>0.5112472235697475</v>
      </c>
      <c r="H190">
        <v>91782</v>
      </c>
      <c r="I190">
        <v>73551</v>
      </c>
      <c r="J190" s="2">
        <v>4.0343919697219022</v>
      </c>
      <c r="K190">
        <v>0.51376852727846101</v>
      </c>
      <c r="L190" t="s">
        <v>37</v>
      </c>
      <c r="M190">
        <v>-2.5213037087135071E-3</v>
      </c>
    </row>
    <row r="191" spans="1:13">
      <c r="A191" t="s">
        <v>55</v>
      </c>
      <c r="B191">
        <v>2020</v>
      </c>
      <c r="C191" t="s">
        <v>27</v>
      </c>
      <c r="D191">
        <v>23557028</v>
      </c>
      <c r="E191">
        <v>-27438550</v>
      </c>
      <c r="F191" s="2">
        <v>-0.53805743705856224</v>
      </c>
      <c r="G191">
        <v>0.12214815477528281</v>
      </c>
      <c r="H191">
        <v>168874</v>
      </c>
      <c r="I191">
        <v>77092</v>
      </c>
      <c r="J191" s="2">
        <v>0.83994683053322006</v>
      </c>
      <c r="K191">
        <v>1</v>
      </c>
      <c r="L191" t="s">
        <v>38</v>
      </c>
      <c r="M191">
        <v>-0.87785184522471726</v>
      </c>
    </row>
    <row r="192" spans="1:13">
      <c r="A192" t="s">
        <v>55</v>
      </c>
      <c r="B192">
        <v>2020</v>
      </c>
      <c r="C192" t="s">
        <v>29</v>
      </c>
      <c r="D192">
        <v>29201999</v>
      </c>
      <c r="E192">
        <v>5644971</v>
      </c>
      <c r="F192" s="2">
        <v>0.23963001614634921</v>
      </c>
      <c r="G192">
        <v>0.2021980466052723</v>
      </c>
      <c r="H192">
        <v>162144</v>
      </c>
      <c r="I192">
        <v>-6730</v>
      </c>
      <c r="J192" s="2">
        <v>-3.9852197496358273E-2</v>
      </c>
      <c r="K192">
        <v>0.95755282245348472</v>
      </c>
      <c r="L192" t="s">
        <v>39</v>
      </c>
      <c r="M192">
        <v>-0.75535477584821242</v>
      </c>
    </row>
    <row r="193" spans="1:12">
      <c r="A193" t="s">
        <v>55</v>
      </c>
      <c r="B193">
        <v>2020</v>
      </c>
      <c r="C193" t="s">
        <v>31</v>
      </c>
      <c r="D193">
        <v>14943365</v>
      </c>
      <c r="E193">
        <v>-14258634</v>
      </c>
      <c r="F193" s="2">
        <v>-0.48827595672474339</v>
      </c>
      <c r="G193">
        <v>0</v>
      </c>
      <c r="L193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2025-11-30T23:31:52Z</dcterms:created>
  <dcterms:modified xsi:type="dcterms:W3CDTF">2025-12-01T17:18:36Z</dcterms:modified>
  <cp:category/>
  <cp:contentStatus/>
</cp:coreProperties>
</file>